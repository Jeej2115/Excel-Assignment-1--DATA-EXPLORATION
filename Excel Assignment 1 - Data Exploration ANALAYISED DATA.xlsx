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04baae581e0a083/DATA ANAL EXCEL Assignment 1/"/>
    </mc:Choice>
  </mc:AlternateContent>
  <xr:revisionPtr revIDLastSave="0" documentId="8_{74D246E3-C82C-40B7-B2ED-405633B45BB9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Dataset" sheetId="1" r:id="rId1"/>
    <sheet name="Sum, Count, and Average" sheetId="2" r:id="rId2"/>
    <sheet name="IF functions" sheetId="3" r:id="rId3"/>
    <sheet name="SUMIF and COUNTIF" sheetId="4" r:id="rId4"/>
    <sheet name="LEFT, RIGHT, MID" sheetId="5" r:id="rId5"/>
  </sheets>
  <calcPr calcId="181029"/>
  <extLst>
    <ext uri="GoogleSheetsCustomDataVersion2">
      <go:sheetsCustomData xmlns:go="http://customooxmlschemas.google.com/" r:id="rId6" roundtripDataChecksum="hJb8T1ZghnA6qFS/bC5j8xshLTM/vtIaNva7vzkMTCI="/>
    </ext>
  </extLst>
</workbook>
</file>

<file path=xl/calcChain.xml><?xml version="1.0" encoding="utf-8"?>
<calcChain xmlns="http://schemas.openxmlformats.org/spreadsheetml/2006/main">
  <c r="J24" i="2" l="1"/>
  <c r="G2" i="3"/>
  <c r="J22" i="2"/>
  <c r="G13" i="5"/>
  <c r="G2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" i="5"/>
  <c r="H32" i="5"/>
  <c r="H33" i="5"/>
  <c r="H34" i="5"/>
  <c r="H35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2" i="5"/>
  <c r="G35" i="5"/>
  <c r="G31" i="5"/>
  <c r="G32" i="5"/>
  <c r="G33" i="5"/>
  <c r="G34" i="5"/>
  <c r="G20" i="5"/>
  <c r="G21" i="5"/>
  <c r="G22" i="5"/>
  <c r="G23" i="5"/>
  <c r="G24" i="5"/>
  <c r="G25" i="5"/>
  <c r="G26" i="5"/>
  <c r="G27" i="5"/>
  <c r="G28" i="5"/>
  <c r="G29" i="5"/>
  <c r="G30" i="5"/>
  <c r="G3" i="5"/>
  <c r="G4" i="5"/>
  <c r="G5" i="5"/>
  <c r="G6" i="5"/>
  <c r="G7" i="5"/>
  <c r="G8" i="5"/>
  <c r="G9" i="5"/>
  <c r="G10" i="5"/>
  <c r="G11" i="5"/>
  <c r="G12" i="5"/>
  <c r="G14" i="5"/>
  <c r="G15" i="5"/>
  <c r="G16" i="5"/>
  <c r="G17" i="5"/>
  <c r="G18" i="5"/>
  <c r="G19" i="5"/>
  <c r="K16" i="4"/>
  <c r="K10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5" i="3"/>
  <c r="G4" i="3"/>
  <c r="G3" i="3"/>
  <c r="D37" i="2"/>
  <c r="E36" i="2"/>
  <c r="D36" i="2"/>
</calcChain>
</file>

<file path=xl/sharedStrings.xml><?xml version="1.0" encoding="utf-8"?>
<sst xmlns="http://schemas.openxmlformats.org/spreadsheetml/2006/main" count="729" uniqueCount="111">
  <si>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</si>
  <si>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</si>
  <si>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</si>
  <si>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</si>
  <si>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</si>
  <si>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</si>
  <si>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</si>
  <si>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</si>
  <si>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</si>
  <si>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</si>
  <si>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</si>
  <si>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</si>
  <si>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</si>
  <si>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</si>
  <si>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</si>
  <si>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</si>
  <si>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</si>
  <si>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</si>
  <si>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</si>
  <si>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</si>
  <si>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</si>
  <si>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</si>
  <si>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</si>
  <si>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</si>
  <si>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</si>
  <si>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</si>
  <si>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</si>
  <si>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</si>
  <si>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</si>
  <si>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</si>
  <si>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</si>
  <si>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</si>
  <si>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</si>
  <si>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</si>
  <si>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</si>
  <si>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</si>
  <si>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</si>
  <si>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</si>
  <si>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</si>
  <si>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</si>
  <si>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</si>
  <si>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</si>
  <si>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</si>
  <si>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</si>
  <si>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</si>
  <si>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</si>
  <si>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</si>
  <si>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</si>
  <si>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</si>
  <si>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</si>
  <si>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</si>
  <si>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</si>
  <si>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</si>
  <si>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</si>
  <si>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</si>
  <si>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</si>
  <si>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</si>
  <si>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</si>
  <si>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</si>
  <si>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</si>
  <si>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</si>
  <si>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</si>
  <si>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</si>
  <si>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</si>
  <si>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</si>
  <si>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</si>
  <si>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</si>
  <si>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</si>
  <si>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</si>
  <si>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</si>
  <si>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</si>
  <si>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</si>
  <si>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</si>
  <si>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</si>
  <si>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</si>
  <si>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</si>
  <si>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</si>
  <si>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</si>
  <si>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</si>
  <si>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</si>
  <si>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</si>
  <si>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</si>
  <si>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</si>
  <si>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</si>
  <si>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</si>
  <si>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</si>
  <si>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</si>
  <si>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</si>
  <si>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</si>
  <si>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</si>
  <si>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</si>
  <si>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</si>
  <si>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</si>
  <si>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</si>
  <si>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 xml:space="preserve">Total price of the product Data set </t>
  </si>
  <si>
    <t>10,100/-</t>
  </si>
  <si>
    <t>No of Product exist in the Data set</t>
  </si>
  <si>
    <t>Average price of the products</t>
  </si>
  <si>
    <t xml:space="preserve">Average Price </t>
  </si>
  <si>
    <t>Minimum price of the  products</t>
  </si>
  <si>
    <t>Maximum price of the  products</t>
  </si>
  <si>
    <t>Price Range.</t>
  </si>
  <si>
    <r>
      <t>Price ≥ $500 → classify as</t>
    </r>
    <r>
      <rPr>
        <b/>
        <sz val="10"/>
        <color rgb="FF000000"/>
        <rFont val="Arial"/>
        <family val="2"/>
        <scheme val="minor"/>
      </rPr>
      <t xml:space="preserve"> High Price</t>
    </r>
  </si>
  <si>
    <r>
      <t xml:space="preserve">Price &lt; $500 → classify as </t>
    </r>
    <r>
      <rPr>
        <b/>
        <sz val="10"/>
        <color rgb="FF000000"/>
        <rFont val="Arial"/>
        <family val="2"/>
        <scheme val="minor"/>
      </rPr>
      <t>Standard Price</t>
    </r>
  </si>
  <si>
    <t>Total price of products in the</t>
  </si>
  <si>
    <t>Electronics category</t>
  </si>
  <si>
    <t>No of products with a price</t>
  </si>
  <si>
    <t>less than $100.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</si>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</sst>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4DD0E1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E0F7FA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rgb="FF4DD0E1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3" borderId="5" xfId="0" applyFont="1" applyFill="1" applyBorder="1"/>
    <xf numFmtId="0" fontId="2" fillId="3" borderId="0" xfId="0" applyFont="1" applyFill="1" applyBorder="1"/>
    <xf numFmtId="0" fontId="2" fillId="3" borderId="6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0" xfId="0" applyFont="1"/>
    <xf numFmtId="0" fontId="4" fillId="6" borderId="1" xfId="0" applyFont="1" applyFill="1" applyBorder="1"/>
    <xf numFmtId="0" fontId="4" fillId="0" borderId="1" xfId="0" applyFont="1" applyBorder="1"/>
    <xf numFmtId="0" fontId="0" fillId="7" borderId="5" xfId="0" applyFill="1" applyBorder="1"/>
    <xf numFmtId="0" fontId="5" fillId="7" borderId="5" xfId="0" applyFont="1" applyFill="1" applyBorder="1"/>
    <xf numFmtId="0" fontId="5" fillId="11" borderId="5" xfId="0" applyFont="1" applyFill="1" applyBorder="1"/>
    <xf numFmtId="0" fontId="5" fillId="11" borderId="7" xfId="0" applyFont="1" applyFill="1" applyBorder="1"/>
    <xf numFmtId="0" fontId="6" fillId="0" borderId="11" xfId="0" applyFont="1" applyBorder="1"/>
    <xf numFmtId="0" fontId="4" fillId="6" borderId="12" xfId="0" applyFont="1" applyFill="1" applyBorder="1"/>
    <xf numFmtId="0" fontId="4" fillId="9" borderId="13" xfId="0" applyFont="1" applyFill="1" applyBorder="1"/>
    <xf numFmtId="0" fontId="4" fillId="0" borderId="14" xfId="0" applyFont="1" applyBorder="1"/>
    <xf numFmtId="0" fontId="4" fillId="10" borderId="15" xfId="0" applyFont="1" applyFill="1" applyBorder="1"/>
    <xf numFmtId="0" fontId="0" fillId="0" borderId="16" xfId="0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4" fillId="10" borderId="17" xfId="0" applyFont="1" applyFill="1" applyBorder="1"/>
    <xf numFmtId="0" fontId="6" fillId="6" borderId="18" xfId="0" applyFont="1" applyFill="1" applyBorder="1"/>
    <xf numFmtId="0" fontId="6" fillId="6" borderId="19" xfId="0" applyFont="1" applyFill="1" applyBorder="1"/>
    <xf numFmtId="0" fontId="5" fillId="12" borderId="1" xfId="0" applyFont="1" applyFill="1" applyBorder="1"/>
    <xf numFmtId="0" fontId="5" fillId="8" borderId="1" xfId="0" applyFont="1" applyFill="1" applyBorder="1"/>
    <xf numFmtId="0" fontId="4" fillId="13" borderId="19" xfId="0" applyFont="1" applyFill="1" applyBorder="1"/>
    <xf numFmtId="0" fontId="4" fillId="6" borderId="0" xfId="0" applyFont="1" applyFill="1"/>
    <xf numFmtId="0" fontId="5" fillId="13" borderId="17" xfId="0" applyFont="1" applyFill="1" applyBorder="1"/>
    <xf numFmtId="0" fontId="2" fillId="0" borderId="10" xfId="0" applyFont="1" applyBorder="1"/>
    <xf numFmtId="0" fontId="2" fillId="3" borderId="10" xfId="0" applyFont="1" applyFill="1" applyBorder="1"/>
    <xf numFmtId="0" fontId="3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4" fillId="10" borderId="13" xfId="0" applyFont="1" applyFill="1" applyBorder="1" applyAlignment="1">
      <alignment horizontal="center"/>
    </xf>
    <xf numFmtId="0" fontId="2" fillId="0" borderId="20" xfId="0" applyFont="1" applyBorder="1"/>
    <xf numFmtId="0" fontId="2" fillId="3" borderId="20" xfId="0" applyFont="1" applyFill="1" applyBorder="1"/>
    <xf numFmtId="0" fontId="2" fillId="3" borderId="14" xfId="0" applyFont="1" applyFill="1" applyBorder="1"/>
    <xf numFmtId="0" fontId="3" fillId="3" borderId="15" xfId="0" applyFont="1" applyFill="1" applyBorder="1"/>
    <xf numFmtId="0" fontId="2" fillId="3" borderId="15" xfId="0" applyFont="1" applyFill="1" applyBorder="1"/>
    <xf numFmtId="0" fontId="3" fillId="14" borderId="0" xfId="0" applyFont="1" applyFill="1" applyBorder="1"/>
    <xf numFmtId="0" fontId="4" fillId="10" borderId="0" xfId="0" applyFont="1" applyFill="1"/>
    <xf numFmtId="0" fontId="3" fillId="15" borderId="10" xfId="0" applyFont="1" applyFill="1" applyBorder="1" applyAlignment="1">
      <alignment horizontal="center"/>
    </xf>
    <xf numFmtId="0" fontId="6" fillId="16" borderId="21" xfId="0" applyFont="1" applyFill="1" applyBorder="1" applyAlignment="1">
      <alignment horizontal="center"/>
    </xf>
    <xf numFmtId="0" fontId="3" fillId="17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C37" sqref="C37"/>
    </sheetView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56E9-8773-4740-9766-D99C4B315D25}">
  <dimension ref="A1:J37"/>
  <sheetViews>
    <sheetView topLeftCell="A16" workbookViewId="0">
      <selection activeCell="E36" sqref="E36"/>
    </sheetView>
  </sheetViews>
  <sheetFormatPr defaultRowHeight="12.5" x14ac:dyDescent="0.25"/>
  <cols>
    <col min="1" max="1" width="10.54296875" bestFit="1" customWidth="1"/>
    <col min="2" max="2" width="13.36328125" bestFit="1" customWidth="1"/>
    <col min="3" max="3" width="12.6328125" bestFit="1" customWidth="1"/>
    <col min="5" max="5" width="8.1796875" bestFit="1" customWidth="1"/>
    <col min="6" max="6" width="10.54296875" bestFit="1" customWidth="1"/>
    <col min="9" max="9" width="29.26953125" bestFit="1" customWidth="1"/>
    <col min="10" max="10" width="8.81640625" bestFit="1" customWidth="1"/>
  </cols>
  <sheetData>
    <row r="1" spans="1:10" ht="13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10" x14ac:dyDescent="0.25">
      <c r="A2" s="9" t="s">
        <v>6</v>
      </c>
      <c r="B2" s="10" t="s">
        <v>7</v>
      </c>
      <c r="C2" s="10" t="s">
        <v>8</v>
      </c>
      <c r="D2" s="10">
        <v>1000</v>
      </c>
      <c r="E2" s="10">
        <v>30</v>
      </c>
      <c r="F2" s="11" t="s">
        <v>9</v>
      </c>
    </row>
    <row r="3" spans="1:10" x14ac:dyDescent="0.25">
      <c r="A3" s="12" t="s">
        <v>10</v>
      </c>
      <c r="B3" s="13" t="s">
        <v>11</v>
      </c>
      <c r="C3" s="13" t="s">
        <v>12</v>
      </c>
      <c r="D3" s="13">
        <v>80</v>
      </c>
      <c r="E3" s="13">
        <v>15</v>
      </c>
      <c r="F3" s="14" t="s">
        <v>13</v>
      </c>
    </row>
    <row r="4" spans="1:10" x14ac:dyDescent="0.25">
      <c r="A4" s="9" t="s">
        <v>14</v>
      </c>
      <c r="B4" s="10" t="s">
        <v>15</v>
      </c>
      <c r="C4" s="10" t="s">
        <v>16</v>
      </c>
      <c r="D4" s="10">
        <v>130</v>
      </c>
      <c r="E4" s="10">
        <v>40</v>
      </c>
      <c r="F4" s="11" t="s">
        <v>17</v>
      </c>
    </row>
    <row r="5" spans="1:10" x14ac:dyDescent="0.25">
      <c r="A5" s="12" t="s">
        <v>18</v>
      </c>
      <c r="B5" s="13" t="s">
        <v>19</v>
      </c>
      <c r="C5" s="13" t="s">
        <v>20</v>
      </c>
      <c r="D5" s="13">
        <v>900</v>
      </c>
      <c r="E5" s="13">
        <v>25</v>
      </c>
      <c r="F5" s="14" t="s">
        <v>9</v>
      </c>
    </row>
    <row r="6" spans="1:10" x14ac:dyDescent="0.25">
      <c r="A6" s="9" t="s">
        <v>21</v>
      </c>
      <c r="B6" s="10" t="s">
        <v>22</v>
      </c>
      <c r="C6" s="10" t="s">
        <v>23</v>
      </c>
      <c r="D6" s="10">
        <v>70</v>
      </c>
      <c r="E6" s="10">
        <v>20</v>
      </c>
      <c r="F6" s="11" t="s">
        <v>24</v>
      </c>
    </row>
    <row r="7" spans="1:10" x14ac:dyDescent="0.25">
      <c r="A7" s="12" t="s">
        <v>25</v>
      </c>
      <c r="B7" s="13" t="s">
        <v>26</v>
      </c>
      <c r="C7" s="13" t="s">
        <v>27</v>
      </c>
      <c r="D7" s="13">
        <v>200</v>
      </c>
      <c r="E7" s="13">
        <v>45</v>
      </c>
      <c r="F7" s="14" t="s">
        <v>9</v>
      </c>
    </row>
    <row r="8" spans="1:10" x14ac:dyDescent="0.25">
      <c r="A8" s="9" t="s">
        <v>28</v>
      </c>
      <c r="B8" s="10" t="s">
        <v>29</v>
      </c>
      <c r="C8" s="10" t="s">
        <v>30</v>
      </c>
      <c r="D8" s="10">
        <v>30</v>
      </c>
      <c r="E8" s="10">
        <v>5</v>
      </c>
      <c r="F8" s="11" t="s">
        <v>13</v>
      </c>
    </row>
    <row r="9" spans="1:10" x14ac:dyDescent="0.25">
      <c r="A9" s="12" t="s">
        <v>31</v>
      </c>
      <c r="B9" s="13" t="s">
        <v>32</v>
      </c>
      <c r="C9" s="13" t="s">
        <v>33</v>
      </c>
      <c r="D9" s="13">
        <v>90</v>
      </c>
      <c r="E9" s="13">
        <v>35</v>
      </c>
      <c r="F9" s="14" t="s">
        <v>17</v>
      </c>
    </row>
    <row r="10" spans="1:10" x14ac:dyDescent="0.25">
      <c r="A10" s="9" t="s">
        <v>34</v>
      </c>
      <c r="B10" s="10" t="s">
        <v>35</v>
      </c>
      <c r="C10" s="10" t="s">
        <v>36</v>
      </c>
      <c r="D10" s="10">
        <v>500</v>
      </c>
      <c r="E10" s="10">
        <v>50</v>
      </c>
      <c r="F10" s="11" t="s">
        <v>9</v>
      </c>
    </row>
    <row r="11" spans="1:10" x14ac:dyDescent="0.25">
      <c r="A11" s="12" t="s">
        <v>37</v>
      </c>
      <c r="B11" s="13" t="s">
        <v>38</v>
      </c>
      <c r="C11" s="13" t="s">
        <v>39</v>
      </c>
      <c r="D11" s="13">
        <v>130</v>
      </c>
      <c r="E11" s="13">
        <v>10</v>
      </c>
      <c r="F11" s="14" t="s">
        <v>24</v>
      </c>
    </row>
    <row r="12" spans="1:10" x14ac:dyDescent="0.25">
      <c r="A12" s="9" t="s">
        <v>40</v>
      </c>
      <c r="B12" s="10" t="s">
        <v>7</v>
      </c>
      <c r="C12" s="10" t="s">
        <v>41</v>
      </c>
      <c r="D12" s="10">
        <v>950</v>
      </c>
      <c r="E12" s="10">
        <v>25</v>
      </c>
      <c r="F12" s="11" t="s">
        <v>9</v>
      </c>
    </row>
    <row r="13" spans="1:10" x14ac:dyDescent="0.25">
      <c r="A13" s="12" t="s">
        <v>42</v>
      </c>
      <c r="B13" s="13" t="s">
        <v>11</v>
      </c>
      <c r="C13" s="13" t="s">
        <v>30</v>
      </c>
      <c r="D13" s="13">
        <v>90</v>
      </c>
      <c r="E13" s="13">
        <v>40</v>
      </c>
      <c r="F13" s="14" t="s">
        <v>13</v>
      </c>
    </row>
    <row r="14" spans="1:10" ht="13" thickBot="1" x14ac:dyDescent="0.3">
      <c r="A14" s="9" t="s">
        <v>43</v>
      </c>
      <c r="B14" s="10" t="s">
        <v>15</v>
      </c>
      <c r="C14" s="10" t="s">
        <v>44</v>
      </c>
      <c r="D14" s="10">
        <v>120</v>
      </c>
      <c r="E14" s="10">
        <v>35</v>
      </c>
      <c r="F14" s="11" t="s">
        <v>17</v>
      </c>
    </row>
    <row r="15" spans="1:10" ht="13" thickBot="1" x14ac:dyDescent="0.3">
      <c r="A15" s="12" t="s">
        <v>45</v>
      </c>
      <c r="B15" s="13" t="s">
        <v>46</v>
      </c>
      <c r="C15" s="13" t="s">
        <v>47</v>
      </c>
      <c r="D15" s="13">
        <v>150</v>
      </c>
      <c r="E15" s="13">
        <v>15</v>
      </c>
      <c r="F15" s="14" t="s">
        <v>9</v>
      </c>
      <c r="I15" s="20"/>
      <c r="J15" s="22"/>
    </row>
    <row r="16" spans="1:10" ht="13.5" thickBot="1" x14ac:dyDescent="0.35">
      <c r="A16" s="9" t="s">
        <v>48</v>
      </c>
      <c r="B16" s="10" t="s">
        <v>26</v>
      </c>
      <c r="C16" s="10" t="s">
        <v>49</v>
      </c>
      <c r="D16" s="10">
        <v>250</v>
      </c>
      <c r="E16" s="10">
        <v>20</v>
      </c>
      <c r="F16" s="11" t="s">
        <v>9</v>
      </c>
      <c r="I16" s="26" t="s">
        <v>94</v>
      </c>
      <c r="J16" s="25" t="s">
        <v>95</v>
      </c>
    </row>
    <row r="17" spans="1:10" ht="13" thickBot="1" x14ac:dyDescent="0.3">
      <c r="A17" s="12" t="s">
        <v>50</v>
      </c>
      <c r="B17" s="13" t="s">
        <v>51</v>
      </c>
      <c r="C17" s="13" t="s">
        <v>52</v>
      </c>
      <c r="D17" s="13">
        <v>50</v>
      </c>
      <c r="E17" s="13">
        <v>35</v>
      </c>
      <c r="F17" s="14" t="s">
        <v>53</v>
      </c>
      <c r="I17" s="15"/>
      <c r="J17" s="16"/>
    </row>
    <row r="18" spans="1:10" ht="13.5" thickBot="1" x14ac:dyDescent="0.35">
      <c r="A18" s="9" t="s">
        <v>54</v>
      </c>
      <c r="B18" s="10" t="s">
        <v>46</v>
      </c>
      <c r="C18" s="10" t="s">
        <v>55</v>
      </c>
      <c r="D18" s="10">
        <v>160</v>
      </c>
      <c r="E18" s="10">
        <v>15</v>
      </c>
      <c r="F18" s="11" t="s">
        <v>9</v>
      </c>
      <c r="I18" s="27" t="s">
        <v>96</v>
      </c>
      <c r="J18" s="25">
        <v>34</v>
      </c>
    </row>
    <row r="19" spans="1:10" ht="13" thickBot="1" x14ac:dyDescent="0.3">
      <c r="A19" s="12" t="s">
        <v>56</v>
      </c>
      <c r="B19" s="13" t="s">
        <v>7</v>
      </c>
      <c r="C19" s="13" t="s">
        <v>57</v>
      </c>
      <c r="D19" s="13">
        <v>980</v>
      </c>
      <c r="E19" s="13">
        <v>10</v>
      </c>
      <c r="F19" s="14" t="s">
        <v>9</v>
      </c>
      <c r="I19" s="15"/>
      <c r="J19" s="16"/>
    </row>
    <row r="20" spans="1:10" ht="13.5" thickBot="1" x14ac:dyDescent="0.35">
      <c r="A20" s="9" t="s">
        <v>58</v>
      </c>
      <c r="B20" s="10" t="s">
        <v>59</v>
      </c>
      <c r="C20" s="10" t="s">
        <v>60</v>
      </c>
      <c r="D20" s="10">
        <v>150</v>
      </c>
      <c r="E20" s="10">
        <v>15</v>
      </c>
      <c r="F20" s="11" t="s">
        <v>13</v>
      </c>
      <c r="I20" s="27" t="s">
        <v>97</v>
      </c>
      <c r="J20" s="25">
        <v>297.05880000000002</v>
      </c>
    </row>
    <row r="21" spans="1:10" ht="13" thickBot="1" x14ac:dyDescent="0.3">
      <c r="A21" s="12" t="s">
        <v>61</v>
      </c>
      <c r="B21" s="13" t="s">
        <v>62</v>
      </c>
      <c r="C21" s="13" t="s">
        <v>63</v>
      </c>
      <c r="D21" s="13">
        <v>200</v>
      </c>
      <c r="E21" s="13">
        <v>10</v>
      </c>
      <c r="F21" s="14" t="s">
        <v>24</v>
      </c>
      <c r="I21" s="15"/>
      <c r="J21" s="16"/>
    </row>
    <row r="22" spans="1:10" ht="13.5" thickBot="1" x14ac:dyDescent="0.35">
      <c r="A22" s="9" t="s">
        <v>64</v>
      </c>
      <c r="B22" s="10" t="s">
        <v>65</v>
      </c>
      <c r="C22" s="10" t="s">
        <v>66</v>
      </c>
      <c r="D22" s="10">
        <v>700</v>
      </c>
      <c r="E22" s="10">
        <v>50</v>
      </c>
      <c r="F22" s="11" t="s">
        <v>9</v>
      </c>
      <c r="I22" s="28" t="s">
        <v>99</v>
      </c>
      <c r="J22" s="25">
        <f>MIN(D2:D35)</f>
        <v>30</v>
      </c>
    </row>
    <row r="23" spans="1:10" ht="13" thickBot="1" x14ac:dyDescent="0.3">
      <c r="A23" s="12" t="s">
        <v>67</v>
      </c>
      <c r="B23" s="13" t="s">
        <v>68</v>
      </c>
      <c r="C23" s="13" t="s">
        <v>69</v>
      </c>
      <c r="D23" s="13">
        <v>80</v>
      </c>
      <c r="E23" s="13">
        <v>20</v>
      </c>
      <c r="F23" s="14" t="s">
        <v>17</v>
      </c>
      <c r="I23" s="15"/>
      <c r="J23" s="16"/>
    </row>
    <row r="24" spans="1:10" ht="13.5" thickBot="1" x14ac:dyDescent="0.35">
      <c r="A24" s="9" t="s">
        <v>70</v>
      </c>
      <c r="B24" s="10" t="s">
        <v>71</v>
      </c>
      <c r="C24" s="10" t="s">
        <v>72</v>
      </c>
      <c r="D24" s="10">
        <v>150</v>
      </c>
      <c r="E24" s="10">
        <v>30</v>
      </c>
      <c r="F24" s="11" t="s">
        <v>9</v>
      </c>
      <c r="I24" s="29" t="s">
        <v>100</v>
      </c>
      <c r="J24" s="25">
        <f>MAX(D2:D35)</f>
        <v>1000</v>
      </c>
    </row>
    <row r="25" spans="1:10" x14ac:dyDescent="0.25">
      <c r="A25" s="12" t="s">
        <v>50</v>
      </c>
      <c r="B25" s="13" t="s">
        <v>51</v>
      </c>
      <c r="C25" s="13" t="s">
        <v>52</v>
      </c>
      <c r="D25" s="13">
        <v>50</v>
      </c>
      <c r="E25" s="13">
        <v>35</v>
      </c>
      <c r="F25" s="14" t="s">
        <v>53</v>
      </c>
    </row>
    <row r="26" spans="1:10" x14ac:dyDescent="0.25">
      <c r="A26" s="9" t="s">
        <v>73</v>
      </c>
      <c r="B26" s="10" t="s">
        <v>19</v>
      </c>
      <c r="C26" s="10" t="s">
        <v>74</v>
      </c>
      <c r="D26" s="10">
        <v>800</v>
      </c>
      <c r="E26" s="10">
        <v>45</v>
      </c>
      <c r="F26" s="11" t="s">
        <v>9</v>
      </c>
    </row>
    <row r="27" spans="1:10" x14ac:dyDescent="0.25">
      <c r="A27" s="12" t="s">
        <v>75</v>
      </c>
      <c r="B27" s="13" t="s">
        <v>59</v>
      </c>
      <c r="C27" s="13" t="s">
        <v>76</v>
      </c>
      <c r="D27" s="13">
        <v>130</v>
      </c>
      <c r="E27" s="13">
        <v>25</v>
      </c>
      <c r="F27" s="14" t="s">
        <v>13</v>
      </c>
    </row>
    <row r="28" spans="1:10" x14ac:dyDescent="0.25">
      <c r="A28" s="9" t="s">
        <v>77</v>
      </c>
      <c r="B28" s="10" t="s">
        <v>32</v>
      </c>
      <c r="C28" s="10" t="s">
        <v>78</v>
      </c>
      <c r="D28" s="10">
        <v>400</v>
      </c>
      <c r="E28" s="10">
        <v>40</v>
      </c>
      <c r="F28" s="11" t="s">
        <v>17</v>
      </c>
    </row>
    <row r="29" spans="1:10" x14ac:dyDescent="0.25">
      <c r="A29" s="12" t="s">
        <v>48</v>
      </c>
      <c r="B29" s="13" t="s">
        <v>26</v>
      </c>
      <c r="C29" s="13" t="s">
        <v>49</v>
      </c>
      <c r="D29" s="13">
        <v>230</v>
      </c>
      <c r="E29" s="13">
        <v>20</v>
      </c>
      <c r="F29" s="14" t="s">
        <v>9</v>
      </c>
    </row>
    <row r="30" spans="1:10" x14ac:dyDescent="0.25">
      <c r="A30" s="9" t="s">
        <v>79</v>
      </c>
      <c r="B30" s="10" t="s">
        <v>80</v>
      </c>
      <c r="C30" s="10" t="s">
        <v>81</v>
      </c>
      <c r="D30" s="10">
        <v>60</v>
      </c>
      <c r="E30" s="10">
        <v>30</v>
      </c>
      <c r="F30" s="11" t="s">
        <v>13</v>
      </c>
    </row>
    <row r="31" spans="1:10" x14ac:dyDescent="0.25">
      <c r="A31" s="12" t="s">
        <v>82</v>
      </c>
      <c r="B31" s="13" t="s">
        <v>83</v>
      </c>
      <c r="C31" s="13" t="s">
        <v>84</v>
      </c>
      <c r="D31" s="13">
        <v>40</v>
      </c>
      <c r="E31" s="13">
        <v>10</v>
      </c>
      <c r="F31" s="14" t="s">
        <v>17</v>
      </c>
    </row>
    <row r="32" spans="1:10" x14ac:dyDescent="0.25">
      <c r="A32" s="9" t="s">
        <v>85</v>
      </c>
      <c r="B32" s="10" t="s">
        <v>71</v>
      </c>
      <c r="C32" s="10" t="s">
        <v>86</v>
      </c>
      <c r="D32" s="10">
        <v>130</v>
      </c>
      <c r="E32" s="10">
        <v>5</v>
      </c>
      <c r="F32" s="11" t="s">
        <v>9</v>
      </c>
    </row>
    <row r="33" spans="1:6" x14ac:dyDescent="0.25">
      <c r="A33" s="12" t="s">
        <v>87</v>
      </c>
      <c r="B33" s="13" t="s">
        <v>88</v>
      </c>
      <c r="C33" s="13" t="s">
        <v>89</v>
      </c>
      <c r="D33" s="13">
        <v>50</v>
      </c>
      <c r="E33" s="13">
        <v>50</v>
      </c>
      <c r="F33" s="14" t="s">
        <v>13</v>
      </c>
    </row>
    <row r="34" spans="1:6" x14ac:dyDescent="0.25">
      <c r="A34" s="9" t="s">
        <v>40</v>
      </c>
      <c r="B34" s="10" t="s">
        <v>7</v>
      </c>
      <c r="C34" s="10" t="s">
        <v>41</v>
      </c>
      <c r="D34" s="10">
        <v>950</v>
      </c>
      <c r="E34" s="10">
        <v>25</v>
      </c>
      <c r="F34" s="11" t="s">
        <v>9</v>
      </c>
    </row>
    <row r="35" spans="1:6" ht="13" thickBot="1" x14ac:dyDescent="0.3">
      <c r="A35" s="12" t="s">
        <v>90</v>
      </c>
      <c r="B35" s="13" t="s">
        <v>91</v>
      </c>
      <c r="C35" s="13" t="s">
        <v>92</v>
      </c>
      <c r="D35" s="13">
        <v>100</v>
      </c>
      <c r="E35" s="13">
        <v>20</v>
      </c>
      <c r="F35" s="14" t="s">
        <v>53</v>
      </c>
    </row>
    <row r="36" spans="1:6" ht="13" x14ac:dyDescent="0.3">
      <c r="A36" s="20"/>
      <c r="B36" s="21"/>
      <c r="C36" s="30" t="s">
        <v>93</v>
      </c>
      <c r="D36" s="31">
        <f>SUM(D2:D35)</f>
        <v>10100</v>
      </c>
      <c r="E36" s="32">
        <f>COUNT(E2:E35)</f>
        <v>34</v>
      </c>
      <c r="F36" s="22"/>
    </row>
    <row r="37" spans="1:6" ht="13.5" thickBot="1" x14ac:dyDescent="0.35">
      <c r="A37" s="17"/>
      <c r="B37" s="18"/>
      <c r="C37" s="33" t="s">
        <v>98</v>
      </c>
      <c r="D37" s="34">
        <f>AVERAGE(D2:D35)</f>
        <v>297.05882352941177</v>
      </c>
      <c r="E37" s="35"/>
      <c r="F37" s="1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FC65-F4CA-4B0F-9092-7CC4B821F37F}">
  <dimension ref="A1:I35"/>
  <sheetViews>
    <sheetView workbookViewId="0">
      <selection activeCell="I18" sqref="I18"/>
    </sheetView>
  </sheetViews>
  <sheetFormatPr defaultRowHeight="12.5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6" max="6" width="10.54296875" bestFit="1" customWidth="1"/>
    <col min="7" max="7" width="13.36328125" bestFit="1" customWidth="1"/>
    <col min="9" max="9" width="35.36328125" bestFit="1" customWidth="1"/>
  </cols>
  <sheetData>
    <row r="1" spans="1:9" ht="13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39" t="s">
        <v>101</v>
      </c>
    </row>
    <row r="2" spans="1:9" ht="13" x14ac:dyDescent="0.3">
      <c r="A2" s="9" t="s">
        <v>6</v>
      </c>
      <c r="B2" s="10" t="s">
        <v>7</v>
      </c>
      <c r="C2" s="10" t="s">
        <v>8</v>
      </c>
      <c r="D2" s="10">
        <v>1000</v>
      </c>
      <c r="E2" s="10">
        <v>30</v>
      </c>
      <c r="F2" s="11" t="s">
        <v>9</v>
      </c>
      <c r="G2" s="40" t="str">
        <f>IF(D2&gt;=500,"High price","standard price")</f>
        <v>High price</v>
      </c>
    </row>
    <row r="3" spans="1:9" ht="13" x14ac:dyDescent="0.3">
      <c r="A3" s="12" t="s">
        <v>10</v>
      </c>
      <c r="B3" s="13" t="s">
        <v>11</v>
      </c>
      <c r="C3" s="13" t="s">
        <v>12</v>
      </c>
      <c r="D3" s="13">
        <v>80</v>
      </c>
      <c r="E3" s="13">
        <v>15</v>
      </c>
      <c r="F3" s="14" t="s">
        <v>13</v>
      </c>
      <c r="G3" s="40" t="str">
        <f>IF(D3&gt;=500,"High price","standard price")</f>
        <v>standard price</v>
      </c>
    </row>
    <row r="4" spans="1:9" ht="13" x14ac:dyDescent="0.3">
      <c r="A4" s="9" t="s">
        <v>14</v>
      </c>
      <c r="B4" s="10" t="s">
        <v>15</v>
      </c>
      <c r="C4" s="10" t="s">
        <v>16</v>
      </c>
      <c r="D4" s="10">
        <v>130</v>
      </c>
      <c r="E4" s="10">
        <v>40</v>
      </c>
      <c r="F4" s="11" t="s">
        <v>17</v>
      </c>
      <c r="G4" s="40" t="str">
        <f>IF(D4&gt;=500,"High price","standard price")</f>
        <v>standard price</v>
      </c>
    </row>
    <row r="5" spans="1:9" ht="13" x14ac:dyDescent="0.3">
      <c r="A5" s="12" t="s">
        <v>18</v>
      </c>
      <c r="B5" s="13" t="s">
        <v>19</v>
      </c>
      <c r="C5" s="13" t="s">
        <v>20</v>
      </c>
      <c r="D5" s="13">
        <v>900</v>
      </c>
      <c r="E5" s="13">
        <v>25</v>
      </c>
      <c r="F5" s="14" t="s">
        <v>9</v>
      </c>
      <c r="G5" s="40" t="str">
        <f>IF(D5&gt;=500,"High price","standard price")</f>
        <v>High price</v>
      </c>
    </row>
    <row r="6" spans="1:9" ht="13" x14ac:dyDescent="0.3">
      <c r="A6" s="9" t="s">
        <v>21</v>
      </c>
      <c r="B6" s="10" t="s">
        <v>22</v>
      </c>
      <c r="C6" s="10" t="s">
        <v>23</v>
      </c>
      <c r="D6" s="10">
        <v>70</v>
      </c>
      <c r="E6" s="10">
        <v>20</v>
      </c>
      <c r="F6" s="11" t="s">
        <v>24</v>
      </c>
      <c r="G6" s="40" t="str">
        <f t="shared" ref="G6:G21" si="0">IF(D6&gt;=500,"High price","standard price")</f>
        <v>standard price</v>
      </c>
    </row>
    <row r="7" spans="1:9" ht="13" x14ac:dyDescent="0.3">
      <c r="A7" s="12" t="s">
        <v>25</v>
      </c>
      <c r="B7" s="13" t="s">
        <v>26</v>
      </c>
      <c r="C7" s="13" t="s">
        <v>27</v>
      </c>
      <c r="D7" s="13">
        <v>200</v>
      </c>
      <c r="E7" s="13">
        <v>45</v>
      </c>
      <c r="F7" s="14" t="s">
        <v>9</v>
      </c>
      <c r="G7" s="40" t="str">
        <f t="shared" si="0"/>
        <v>standard price</v>
      </c>
    </row>
    <row r="8" spans="1:9" ht="13" x14ac:dyDescent="0.3">
      <c r="A8" s="9" t="s">
        <v>28</v>
      </c>
      <c r="B8" s="10" t="s">
        <v>29</v>
      </c>
      <c r="C8" s="10" t="s">
        <v>30</v>
      </c>
      <c r="D8" s="10">
        <v>30</v>
      </c>
      <c r="E8" s="10">
        <v>5</v>
      </c>
      <c r="F8" s="11" t="s">
        <v>13</v>
      </c>
      <c r="G8" s="40" t="str">
        <f t="shared" si="0"/>
        <v>standard price</v>
      </c>
    </row>
    <row r="9" spans="1:9" ht="13" x14ac:dyDescent="0.3">
      <c r="A9" s="12" t="s">
        <v>31</v>
      </c>
      <c r="B9" s="13" t="s">
        <v>32</v>
      </c>
      <c r="C9" s="13" t="s">
        <v>33</v>
      </c>
      <c r="D9" s="13">
        <v>90</v>
      </c>
      <c r="E9" s="13">
        <v>35</v>
      </c>
      <c r="F9" s="14" t="s">
        <v>17</v>
      </c>
      <c r="G9" s="40" t="str">
        <f t="shared" si="0"/>
        <v>standard price</v>
      </c>
    </row>
    <row r="10" spans="1:9" ht="13" x14ac:dyDescent="0.3">
      <c r="A10" s="9" t="s">
        <v>34</v>
      </c>
      <c r="B10" s="10" t="s">
        <v>35</v>
      </c>
      <c r="C10" s="10" t="s">
        <v>36</v>
      </c>
      <c r="D10" s="10">
        <v>500</v>
      </c>
      <c r="E10" s="10">
        <v>50</v>
      </c>
      <c r="F10" s="11" t="s">
        <v>9</v>
      </c>
      <c r="G10" s="40" t="str">
        <f t="shared" si="0"/>
        <v>High price</v>
      </c>
    </row>
    <row r="11" spans="1:9" ht="13.5" thickBot="1" x14ac:dyDescent="0.35">
      <c r="A11" s="12" t="s">
        <v>37</v>
      </c>
      <c r="B11" s="13" t="s">
        <v>38</v>
      </c>
      <c r="C11" s="13" t="s">
        <v>39</v>
      </c>
      <c r="D11" s="13">
        <v>130</v>
      </c>
      <c r="E11" s="13">
        <v>10</v>
      </c>
      <c r="F11" s="14" t="s">
        <v>24</v>
      </c>
      <c r="G11" s="40" t="str">
        <f t="shared" si="0"/>
        <v>standard price</v>
      </c>
    </row>
    <row r="12" spans="1:9" ht="13.5" thickBot="1" x14ac:dyDescent="0.35">
      <c r="A12" s="9" t="s">
        <v>40</v>
      </c>
      <c r="B12" s="10" t="s">
        <v>7</v>
      </c>
      <c r="C12" s="10" t="s">
        <v>41</v>
      </c>
      <c r="D12" s="10">
        <v>950</v>
      </c>
      <c r="E12" s="10">
        <v>25</v>
      </c>
      <c r="F12" s="11" t="s">
        <v>9</v>
      </c>
      <c r="G12" s="40" t="str">
        <f t="shared" si="0"/>
        <v>High price</v>
      </c>
      <c r="I12" s="42" t="s">
        <v>102</v>
      </c>
    </row>
    <row r="13" spans="1:9" ht="13.5" thickBot="1" x14ac:dyDescent="0.35">
      <c r="A13" s="12" t="s">
        <v>42</v>
      </c>
      <c r="B13" s="13" t="s">
        <v>11</v>
      </c>
      <c r="C13" s="13" t="s">
        <v>30</v>
      </c>
      <c r="D13" s="13">
        <v>90</v>
      </c>
      <c r="E13" s="13">
        <v>40</v>
      </c>
      <c r="F13" s="14" t="s">
        <v>13</v>
      </c>
      <c r="G13" s="40" t="str">
        <f t="shared" si="0"/>
        <v>standard price</v>
      </c>
    </row>
    <row r="14" spans="1:9" ht="13.5" thickBot="1" x14ac:dyDescent="0.35">
      <c r="A14" s="9" t="s">
        <v>43</v>
      </c>
      <c r="B14" s="10" t="s">
        <v>15</v>
      </c>
      <c r="C14" s="10" t="s">
        <v>44</v>
      </c>
      <c r="D14" s="10">
        <v>120</v>
      </c>
      <c r="E14" s="10">
        <v>35</v>
      </c>
      <c r="F14" s="11" t="s">
        <v>17</v>
      </c>
      <c r="G14" s="40" t="str">
        <f t="shared" si="0"/>
        <v>standard price</v>
      </c>
      <c r="I14" s="43" t="s">
        <v>103</v>
      </c>
    </row>
    <row r="15" spans="1:9" ht="13" x14ac:dyDescent="0.3">
      <c r="A15" s="12" t="s">
        <v>45</v>
      </c>
      <c r="B15" s="13" t="s">
        <v>46</v>
      </c>
      <c r="C15" s="13" t="s">
        <v>47</v>
      </c>
      <c r="D15" s="13">
        <v>150</v>
      </c>
      <c r="E15" s="13">
        <v>15</v>
      </c>
      <c r="F15" s="14" t="s">
        <v>9</v>
      </c>
      <c r="G15" s="40" t="str">
        <f t="shared" si="0"/>
        <v>standard price</v>
      </c>
    </row>
    <row r="16" spans="1:9" ht="13" x14ac:dyDescent="0.3">
      <c r="A16" s="9" t="s">
        <v>48</v>
      </c>
      <c r="B16" s="10" t="s">
        <v>26</v>
      </c>
      <c r="C16" s="10" t="s">
        <v>49</v>
      </c>
      <c r="D16" s="10">
        <v>250</v>
      </c>
      <c r="E16" s="10">
        <v>20</v>
      </c>
      <c r="F16" s="11" t="s">
        <v>9</v>
      </c>
      <c r="G16" s="40" t="str">
        <f t="shared" si="0"/>
        <v>standard price</v>
      </c>
    </row>
    <row r="17" spans="1:7" ht="13" x14ac:dyDescent="0.3">
      <c r="A17" s="12" t="s">
        <v>50</v>
      </c>
      <c r="B17" s="13" t="s">
        <v>51</v>
      </c>
      <c r="C17" s="13" t="s">
        <v>52</v>
      </c>
      <c r="D17" s="13">
        <v>50</v>
      </c>
      <c r="E17" s="13">
        <v>35</v>
      </c>
      <c r="F17" s="14" t="s">
        <v>53</v>
      </c>
      <c r="G17" s="40" t="str">
        <f t="shared" si="0"/>
        <v>standard price</v>
      </c>
    </row>
    <row r="18" spans="1:7" ht="13" x14ac:dyDescent="0.3">
      <c r="A18" s="9" t="s">
        <v>54</v>
      </c>
      <c r="B18" s="10" t="s">
        <v>46</v>
      </c>
      <c r="C18" s="10" t="s">
        <v>55</v>
      </c>
      <c r="D18" s="10">
        <v>160</v>
      </c>
      <c r="E18" s="10">
        <v>15</v>
      </c>
      <c r="F18" s="11" t="s">
        <v>9</v>
      </c>
      <c r="G18" s="40" t="str">
        <f t="shared" si="0"/>
        <v>standard price</v>
      </c>
    </row>
    <row r="19" spans="1:7" ht="13" x14ac:dyDescent="0.3">
      <c r="A19" s="12" t="s">
        <v>56</v>
      </c>
      <c r="B19" s="13" t="s">
        <v>7</v>
      </c>
      <c r="C19" s="13" t="s">
        <v>57</v>
      </c>
      <c r="D19" s="13">
        <v>980</v>
      </c>
      <c r="E19" s="13">
        <v>10</v>
      </c>
      <c r="F19" s="14" t="s">
        <v>9</v>
      </c>
      <c r="G19" s="40" t="str">
        <f t="shared" si="0"/>
        <v>High price</v>
      </c>
    </row>
    <row r="20" spans="1:7" ht="13" x14ac:dyDescent="0.3">
      <c r="A20" s="9" t="s">
        <v>58</v>
      </c>
      <c r="B20" s="10" t="s">
        <v>59</v>
      </c>
      <c r="C20" s="10" t="s">
        <v>60</v>
      </c>
      <c r="D20" s="10">
        <v>150</v>
      </c>
      <c r="E20" s="10">
        <v>15</v>
      </c>
      <c r="F20" s="11" t="s">
        <v>13</v>
      </c>
      <c r="G20" s="40" t="str">
        <f t="shared" si="0"/>
        <v>standard price</v>
      </c>
    </row>
    <row r="21" spans="1:7" ht="13" x14ac:dyDescent="0.3">
      <c r="A21" s="12" t="s">
        <v>61</v>
      </c>
      <c r="B21" s="13" t="s">
        <v>62</v>
      </c>
      <c r="C21" s="13" t="s">
        <v>63</v>
      </c>
      <c r="D21" s="13">
        <v>200</v>
      </c>
      <c r="E21" s="13">
        <v>10</v>
      </c>
      <c r="F21" s="14" t="s">
        <v>24</v>
      </c>
      <c r="G21" s="40" t="str">
        <f t="shared" si="0"/>
        <v>standard price</v>
      </c>
    </row>
    <row r="22" spans="1:7" ht="13" x14ac:dyDescent="0.3">
      <c r="A22" s="9" t="s">
        <v>64</v>
      </c>
      <c r="B22" s="10" t="s">
        <v>65</v>
      </c>
      <c r="C22" s="10" t="s">
        <v>66</v>
      </c>
      <c r="D22" s="10">
        <v>700</v>
      </c>
      <c r="E22" s="10">
        <v>50</v>
      </c>
      <c r="F22" s="11" t="s">
        <v>9</v>
      </c>
      <c r="G22" s="40" t="str">
        <f>IF(D22&gt;=500,"High price","standard price")</f>
        <v>High price</v>
      </c>
    </row>
    <row r="23" spans="1:7" ht="13" x14ac:dyDescent="0.3">
      <c r="A23" s="12" t="s">
        <v>67</v>
      </c>
      <c r="B23" s="13" t="s">
        <v>68</v>
      </c>
      <c r="C23" s="13" t="s">
        <v>69</v>
      </c>
      <c r="D23" s="13">
        <v>80</v>
      </c>
      <c r="E23" s="13">
        <v>20</v>
      </c>
      <c r="F23" s="14" t="s">
        <v>17</v>
      </c>
      <c r="G23" s="40" t="str">
        <f>IF(D23&gt;=500,"High price","standard price")</f>
        <v>standard price</v>
      </c>
    </row>
    <row r="24" spans="1:7" ht="13" x14ac:dyDescent="0.3">
      <c r="A24" s="9" t="s">
        <v>70</v>
      </c>
      <c r="B24" s="10" t="s">
        <v>71</v>
      </c>
      <c r="C24" s="10" t="s">
        <v>72</v>
      </c>
      <c r="D24" s="10">
        <v>150</v>
      </c>
      <c r="E24" s="10">
        <v>30</v>
      </c>
      <c r="F24" s="11" t="s">
        <v>9</v>
      </c>
      <c r="G24" s="40" t="str">
        <f>IF(D24&gt;=500,"High price","standard price")</f>
        <v>standard price</v>
      </c>
    </row>
    <row r="25" spans="1:7" ht="13" x14ac:dyDescent="0.3">
      <c r="A25" s="12" t="s">
        <v>50</v>
      </c>
      <c r="B25" s="13" t="s">
        <v>51</v>
      </c>
      <c r="C25" s="13" t="s">
        <v>52</v>
      </c>
      <c r="D25" s="13">
        <v>50</v>
      </c>
      <c r="E25" s="13">
        <v>35</v>
      </c>
      <c r="F25" s="14" t="s">
        <v>53</v>
      </c>
      <c r="G25" s="40" t="str">
        <f>IF(D25&gt;=500,"High price","standard price")</f>
        <v>standard price</v>
      </c>
    </row>
    <row r="26" spans="1:7" ht="13" x14ac:dyDescent="0.3">
      <c r="A26" s="9" t="s">
        <v>73</v>
      </c>
      <c r="B26" s="10" t="s">
        <v>19</v>
      </c>
      <c r="C26" s="10" t="s">
        <v>74</v>
      </c>
      <c r="D26" s="10">
        <v>800</v>
      </c>
      <c r="E26" s="10">
        <v>45</v>
      </c>
      <c r="F26" s="11" t="s">
        <v>9</v>
      </c>
      <c r="G26" s="40" t="str">
        <f t="shared" ref="G26:G35" si="1">IF(D26&gt;=500,"High price","standard price")</f>
        <v>High price</v>
      </c>
    </row>
    <row r="27" spans="1:7" ht="13" x14ac:dyDescent="0.3">
      <c r="A27" s="12" t="s">
        <v>75</v>
      </c>
      <c r="B27" s="13" t="s">
        <v>59</v>
      </c>
      <c r="C27" s="13" t="s">
        <v>76</v>
      </c>
      <c r="D27" s="13">
        <v>130</v>
      </c>
      <c r="E27" s="13">
        <v>25</v>
      </c>
      <c r="F27" s="14" t="s">
        <v>13</v>
      </c>
      <c r="G27" s="40" t="str">
        <f t="shared" si="1"/>
        <v>standard price</v>
      </c>
    </row>
    <row r="28" spans="1:7" ht="13" x14ac:dyDescent="0.3">
      <c r="A28" s="9" t="s">
        <v>77</v>
      </c>
      <c r="B28" s="10" t="s">
        <v>32</v>
      </c>
      <c r="C28" s="10" t="s">
        <v>78</v>
      </c>
      <c r="D28" s="10">
        <v>400</v>
      </c>
      <c r="E28" s="10">
        <v>40</v>
      </c>
      <c r="F28" s="11" t="s">
        <v>17</v>
      </c>
      <c r="G28" s="40" t="str">
        <f t="shared" si="1"/>
        <v>standard price</v>
      </c>
    </row>
    <row r="29" spans="1:7" ht="13" x14ac:dyDescent="0.3">
      <c r="A29" s="12" t="s">
        <v>48</v>
      </c>
      <c r="B29" s="13" t="s">
        <v>26</v>
      </c>
      <c r="C29" s="13" t="s">
        <v>49</v>
      </c>
      <c r="D29" s="13">
        <v>230</v>
      </c>
      <c r="E29" s="13">
        <v>20</v>
      </c>
      <c r="F29" s="14" t="s">
        <v>9</v>
      </c>
      <c r="G29" s="40" t="str">
        <f t="shared" si="1"/>
        <v>standard price</v>
      </c>
    </row>
    <row r="30" spans="1:7" ht="13" x14ac:dyDescent="0.3">
      <c r="A30" s="9" t="s">
        <v>79</v>
      </c>
      <c r="B30" s="10" t="s">
        <v>80</v>
      </c>
      <c r="C30" s="10" t="s">
        <v>81</v>
      </c>
      <c r="D30" s="10">
        <v>60</v>
      </c>
      <c r="E30" s="10">
        <v>30</v>
      </c>
      <c r="F30" s="11" t="s">
        <v>13</v>
      </c>
      <c r="G30" s="40" t="str">
        <f t="shared" si="1"/>
        <v>standard price</v>
      </c>
    </row>
    <row r="31" spans="1:7" ht="13" x14ac:dyDescent="0.3">
      <c r="A31" s="12" t="s">
        <v>82</v>
      </c>
      <c r="B31" s="13" t="s">
        <v>83</v>
      </c>
      <c r="C31" s="13" t="s">
        <v>84</v>
      </c>
      <c r="D31" s="13">
        <v>40</v>
      </c>
      <c r="E31" s="13">
        <v>10</v>
      </c>
      <c r="F31" s="14" t="s">
        <v>17</v>
      </c>
      <c r="G31" s="40" t="str">
        <f t="shared" si="1"/>
        <v>standard price</v>
      </c>
    </row>
    <row r="32" spans="1:7" ht="13" x14ac:dyDescent="0.3">
      <c r="A32" s="9" t="s">
        <v>85</v>
      </c>
      <c r="B32" s="10" t="s">
        <v>71</v>
      </c>
      <c r="C32" s="10" t="s">
        <v>86</v>
      </c>
      <c r="D32" s="10">
        <v>130</v>
      </c>
      <c r="E32" s="10">
        <v>5</v>
      </c>
      <c r="F32" s="11" t="s">
        <v>9</v>
      </c>
      <c r="G32" s="40" t="str">
        <f t="shared" si="1"/>
        <v>standard price</v>
      </c>
    </row>
    <row r="33" spans="1:7" ht="13" x14ac:dyDescent="0.3">
      <c r="A33" s="12" t="s">
        <v>87</v>
      </c>
      <c r="B33" s="13" t="s">
        <v>88</v>
      </c>
      <c r="C33" s="13" t="s">
        <v>89</v>
      </c>
      <c r="D33" s="13">
        <v>50</v>
      </c>
      <c r="E33" s="13">
        <v>50</v>
      </c>
      <c r="F33" s="14" t="s">
        <v>13</v>
      </c>
      <c r="G33" s="40" t="str">
        <f t="shared" si="1"/>
        <v>standard price</v>
      </c>
    </row>
    <row r="34" spans="1:7" ht="13" x14ac:dyDescent="0.3">
      <c r="A34" s="9" t="s">
        <v>40</v>
      </c>
      <c r="B34" s="10" t="s">
        <v>7</v>
      </c>
      <c r="C34" s="10" t="s">
        <v>41</v>
      </c>
      <c r="D34" s="10">
        <v>950</v>
      </c>
      <c r="E34" s="10">
        <v>25</v>
      </c>
      <c r="F34" s="11" t="s">
        <v>9</v>
      </c>
      <c r="G34" s="40" t="str">
        <f t="shared" si="1"/>
        <v>High price</v>
      </c>
    </row>
    <row r="35" spans="1:7" ht="13.5" thickBot="1" x14ac:dyDescent="0.35">
      <c r="A35" s="36" t="s">
        <v>90</v>
      </c>
      <c r="B35" s="37" t="s">
        <v>91</v>
      </c>
      <c r="C35" s="37" t="s">
        <v>92</v>
      </c>
      <c r="D35" s="37">
        <v>100</v>
      </c>
      <c r="E35" s="37">
        <v>20</v>
      </c>
      <c r="F35" s="38" t="s">
        <v>53</v>
      </c>
      <c r="G35" s="41" t="str">
        <f t="shared" si="1"/>
        <v>standard price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4A5B-3295-4BD6-87D2-4A288FFAE382}">
  <dimension ref="A1:K35"/>
  <sheetViews>
    <sheetView workbookViewId="0">
      <selection activeCell="K16" sqref="K16"/>
    </sheetView>
  </sheetViews>
  <sheetFormatPr defaultRowHeight="12.5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5" max="5" width="8.1796875" bestFit="1" customWidth="1"/>
    <col min="6" max="6" width="10.54296875" bestFit="1" customWidth="1"/>
    <col min="7" max="7" width="13.36328125" bestFit="1" customWidth="1"/>
    <col min="10" max="10" width="26.26953125" bestFit="1" customWidth="1"/>
  </cols>
  <sheetData>
    <row r="1" spans="1:11" ht="13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39" t="s">
        <v>101</v>
      </c>
    </row>
    <row r="2" spans="1:11" ht="13" x14ac:dyDescent="0.3">
      <c r="A2" s="9" t="s">
        <v>6</v>
      </c>
      <c r="B2" s="10" t="s">
        <v>7</v>
      </c>
      <c r="C2" s="10" t="s">
        <v>8</v>
      </c>
      <c r="D2" s="10">
        <v>1000</v>
      </c>
      <c r="E2" s="10">
        <v>30</v>
      </c>
      <c r="F2" s="11" t="s">
        <v>9</v>
      </c>
      <c r="G2" s="40" t="str">
        <f>IF(D2&gt;=500,"High price","standard price")</f>
        <v>High price</v>
      </c>
    </row>
    <row r="3" spans="1:11" ht="13" x14ac:dyDescent="0.3">
      <c r="A3" s="12" t="s">
        <v>10</v>
      </c>
      <c r="B3" s="13" t="s">
        <v>11</v>
      </c>
      <c r="C3" s="13" t="s">
        <v>12</v>
      </c>
      <c r="D3" s="13">
        <v>80</v>
      </c>
      <c r="E3" s="13">
        <v>15</v>
      </c>
      <c r="F3" s="14" t="s">
        <v>13</v>
      </c>
      <c r="G3" s="40" t="str">
        <f>IF(D3&gt;=500,"High price","standard price")</f>
        <v>standard price</v>
      </c>
    </row>
    <row r="4" spans="1:11" ht="13" x14ac:dyDescent="0.3">
      <c r="A4" s="9" t="s">
        <v>14</v>
      </c>
      <c r="B4" s="10" t="s">
        <v>15</v>
      </c>
      <c r="C4" s="10" t="s">
        <v>16</v>
      </c>
      <c r="D4" s="10">
        <v>130</v>
      </c>
      <c r="E4" s="10">
        <v>40</v>
      </c>
      <c r="F4" s="11" t="s">
        <v>17</v>
      </c>
      <c r="G4" s="40" t="str">
        <f>IF(D4&gt;=500,"High price","standard price")</f>
        <v>standard price</v>
      </c>
    </row>
    <row r="5" spans="1:11" ht="13" x14ac:dyDescent="0.3">
      <c r="A5" s="12" t="s">
        <v>18</v>
      </c>
      <c r="B5" s="13" t="s">
        <v>19</v>
      </c>
      <c r="C5" s="13" t="s">
        <v>20</v>
      </c>
      <c r="D5" s="13">
        <v>900</v>
      </c>
      <c r="E5" s="13">
        <v>25</v>
      </c>
      <c r="F5" s="14" t="s">
        <v>9</v>
      </c>
      <c r="G5" s="40" t="str">
        <f>IF(D5&gt;=500,"High price","standard price")</f>
        <v>High price</v>
      </c>
    </row>
    <row r="6" spans="1:11" ht="13" x14ac:dyDescent="0.3">
      <c r="A6" s="9" t="s">
        <v>21</v>
      </c>
      <c r="B6" s="10" t="s">
        <v>22</v>
      </c>
      <c r="C6" s="10" t="s">
        <v>23</v>
      </c>
      <c r="D6" s="10">
        <v>70</v>
      </c>
      <c r="E6" s="10">
        <v>20</v>
      </c>
      <c r="F6" s="11" t="s">
        <v>24</v>
      </c>
      <c r="G6" s="40" t="str">
        <f t="shared" ref="G6:G21" si="0">IF(D6&gt;=500,"High price","standard price")</f>
        <v>standard price</v>
      </c>
    </row>
    <row r="7" spans="1:11" ht="13" x14ac:dyDescent="0.3">
      <c r="A7" s="12" t="s">
        <v>25</v>
      </c>
      <c r="B7" s="13" t="s">
        <v>26</v>
      </c>
      <c r="C7" s="13" t="s">
        <v>27</v>
      </c>
      <c r="D7" s="13">
        <v>200</v>
      </c>
      <c r="E7" s="13">
        <v>45</v>
      </c>
      <c r="F7" s="14" t="s">
        <v>9</v>
      </c>
      <c r="G7" s="40" t="str">
        <f t="shared" si="0"/>
        <v>standard price</v>
      </c>
    </row>
    <row r="8" spans="1:11" ht="13.5" thickBot="1" x14ac:dyDescent="0.35">
      <c r="A8" s="9" t="s">
        <v>28</v>
      </c>
      <c r="B8" s="10" t="s">
        <v>29</v>
      </c>
      <c r="C8" s="10" t="s">
        <v>30</v>
      </c>
      <c r="D8" s="10">
        <v>30</v>
      </c>
      <c r="E8" s="10">
        <v>5</v>
      </c>
      <c r="F8" s="11" t="s">
        <v>13</v>
      </c>
      <c r="G8" s="40" t="str">
        <f t="shared" si="0"/>
        <v>standard price</v>
      </c>
    </row>
    <row r="9" spans="1:11" ht="13.5" thickBot="1" x14ac:dyDescent="0.35">
      <c r="A9" s="12" t="s">
        <v>31</v>
      </c>
      <c r="B9" s="13" t="s">
        <v>32</v>
      </c>
      <c r="C9" s="13" t="s">
        <v>33</v>
      </c>
      <c r="D9" s="13">
        <v>90</v>
      </c>
      <c r="E9" s="13">
        <v>35</v>
      </c>
      <c r="F9" s="14" t="s">
        <v>17</v>
      </c>
      <c r="G9" s="40" t="str">
        <f t="shared" si="0"/>
        <v>standard price</v>
      </c>
      <c r="J9" s="46" t="s">
        <v>104</v>
      </c>
    </row>
    <row r="10" spans="1:11" ht="13.5" thickBot="1" x14ac:dyDescent="0.35">
      <c r="A10" s="9" t="s">
        <v>34</v>
      </c>
      <c r="B10" s="10" t="s">
        <v>35</v>
      </c>
      <c r="C10" s="10" t="s">
        <v>36</v>
      </c>
      <c r="D10" s="10">
        <v>500</v>
      </c>
      <c r="E10" s="10">
        <v>50</v>
      </c>
      <c r="F10" s="11" t="s">
        <v>9</v>
      </c>
      <c r="G10" s="40" t="str">
        <f t="shared" si="0"/>
        <v>High price</v>
      </c>
      <c r="J10" s="44" t="s">
        <v>105</v>
      </c>
      <c r="K10" s="24">
        <f>SUMIF(F2:F34,"Electronics",E2:E34)</f>
        <v>410</v>
      </c>
    </row>
    <row r="11" spans="1:11" ht="13" x14ac:dyDescent="0.3">
      <c r="A11" s="12" t="s">
        <v>37</v>
      </c>
      <c r="B11" s="13" t="s">
        <v>38</v>
      </c>
      <c r="C11" s="13" t="s">
        <v>39</v>
      </c>
      <c r="D11" s="13">
        <v>130</v>
      </c>
      <c r="E11" s="13">
        <v>10</v>
      </c>
      <c r="F11" s="14" t="s">
        <v>24</v>
      </c>
      <c r="G11" s="40" t="str">
        <f t="shared" si="0"/>
        <v>standard price</v>
      </c>
    </row>
    <row r="12" spans="1:11" ht="13" x14ac:dyDescent="0.3">
      <c r="A12" s="9" t="s">
        <v>40</v>
      </c>
      <c r="B12" s="10" t="s">
        <v>7</v>
      </c>
      <c r="C12" s="10" t="s">
        <v>41</v>
      </c>
      <c r="D12" s="10">
        <v>950</v>
      </c>
      <c r="E12" s="10">
        <v>25</v>
      </c>
      <c r="F12" s="11" t="s">
        <v>9</v>
      </c>
      <c r="G12" s="40" t="str">
        <f t="shared" si="0"/>
        <v>High price</v>
      </c>
    </row>
    <row r="13" spans="1:11" ht="13" x14ac:dyDescent="0.3">
      <c r="A13" s="12" t="s">
        <v>42</v>
      </c>
      <c r="B13" s="13" t="s">
        <v>11</v>
      </c>
      <c r="C13" s="13" t="s">
        <v>30</v>
      </c>
      <c r="D13" s="13">
        <v>90</v>
      </c>
      <c r="E13" s="13">
        <v>40</v>
      </c>
      <c r="F13" s="14" t="s">
        <v>13</v>
      </c>
      <c r="G13" s="40" t="str">
        <f t="shared" si="0"/>
        <v>standard price</v>
      </c>
    </row>
    <row r="14" spans="1:11" ht="13.5" thickBot="1" x14ac:dyDescent="0.35">
      <c r="A14" s="9" t="s">
        <v>43</v>
      </c>
      <c r="B14" s="10" t="s">
        <v>15</v>
      </c>
      <c r="C14" s="10" t="s">
        <v>44</v>
      </c>
      <c r="D14" s="10">
        <v>120</v>
      </c>
      <c r="E14" s="10">
        <v>35</v>
      </c>
      <c r="F14" s="11" t="s">
        <v>17</v>
      </c>
      <c r="G14" s="40" t="str">
        <f t="shared" si="0"/>
        <v>standard price</v>
      </c>
    </row>
    <row r="15" spans="1:11" ht="13" x14ac:dyDescent="0.3">
      <c r="A15" s="12" t="s">
        <v>45</v>
      </c>
      <c r="B15" s="13" t="s">
        <v>46</v>
      </c>
      <c r="C15" s="13" t="s">
        <v>47</v>
      </c>
      <c r="D15" s="13">
        <v>150</v>
      </c>
      <c r="E15" s="13">
        <v>15</v>
      </c>
      <c r="F15" s="14" t="s">
        <v>9</v>
      </c>
      <c r="G15" s="40" t="str">
        <f t="shared" si="0"/>
        <v>standard price</v>
      </c>
      <c r="J15" s="46" t="s">
        <v>106</v>
      </c>
    </row>
    <row r="16" spans="1:11" ht="13.5" thickBot="1" x14ac:dyDescent="0.35">
      <c r="A16" s="9" t="s">
        <v>48</v>
      </c>
      <c r="B16" s="10" t="s">
        <v>26</v>
      </c>
      <c r="C16" s="10" t="s">
        <v>49</v>
      </c>
      <c r="D16" s="10">
        <v>250</v>
      </c>
      <c r="E16" s="10">
        <v>20</v>
      </c>
      <c r="F16" s="11" t="s">
        <v>9</v>
      </c>
      <c r="G16" s="40" t="str">
        <f t="shared" si="0"/>
        <v>standard price</v>
      </c>
      <c r="J16" s="44" t="s">
        <v>107</v>
      </c>
      <c r="K16" s="45">
        <f>COUNTIF(D2:D34,"&lt;100")</f>
        <v>11</v>
      </c>
    </row>
    <row r="17" spans="1:7" ht="13" x14ac:dyDescent="0.3">
      <c r="A17" s="12" t="s">
        <v>50</v>
      </c>
      <c r="B17" s="13" t="s">
        <v>51</v>
      </c>
      <c r="C17" s="13" t="s">
        <v>52</v>
      </c>
      <c r="D17" s="13">
        <v>50</v>
      </c>
      <c r="E17" s="13">
        <v>35</v>
      </c>
      <c r="F17" s="14" t="s">
        <v>53</v>
      </c>
      <c r="G17" s="40" t="str">
        <f t="shared" si="0"/>
        <v>standard price</v>
      </c>
    </row>
    <row r="18" spans="1:7" ht="13" x14ac:dyDescent="0.3">
      <c r="A18" s="9" t="s">
        <v>54</v>
      </c>
      <c r="B18" s="10" t="s">
        <v>46</v>
      </c>
      <c r="C18" s="10" t="s">
        <v>55</v>
      </c>
      <c r="D18" s="10">
        <v>160</v>
      </c>
      <c r="E18" s="10">
        <v>15</v>
      </c>
      <c r="F18" s="11" t="s">
        <v>9</v>
      </c>
      <c r="G18" s="40" t="str">
        <f t="shared" si="0"/>
        <v>standard price</v>
      </c>
    </row>
    <row r="19" spans="1:7" ht="13" x14ac:dyDescent="0.3">
      <c r="A19" s="12" t="s">
        <v>56</v>
      </c>
      <c r="B19" s="13" t="s">
        <v>7</v>
      </c>
      <c r="C19" s="13" t="s">
        <v>57</v>
      </c>
      <c r="D19" s="13">
        <v>980</v>
      </c>
      <c r="E19" s="13">
        <v>10</v>
      </c>
      <c r="F19" s="14" t="s">
        <v>9</v>
      </c>
      <c r="G19" s="40" t="str">
        <f t="shared" si="0"/>
        <v>High price</v>
      </c>
    </row>
    <row r="20" spans="1:7" ht="13" x14ac:dyDescent="0.3">
      <c r="A20" s="9" t="s">
        <v>58</v>
      </c>
      <c r="B20" s="10" t="s">
        <v>59</v>
      </c>
      <c r="C20" s="10" t="s">
        <v>60</v>
      </c>
      <c r="D20" s="10">
        <v>150</v>
      </c>
      <c r="E20" s="10">
        <v>15</v>
      </c>
      <c r="F20" s="11" t="s">
        <v>13</v>
      </c>
      <c r="G20" s="40" t="str">
        <f t="shared" si="0"/>
        <v>standard price</v>
      </c>
    </row>
    <row r="21" spans="1:7" ht="13" x14ac:dyDescent="0.3">
      <c r="A21" s="12" t="s">
        <v>61</v>
      </c>
      <c r="B21" s="13" t="s">
        <v>62</v>
      </c>
      <c r="C21" s="13" t="s">
        <v>63</v>
      </c>
      <c r="D21" s="13">
        <v>200</v>
      </c>
      <c r="E21" s="13">
        <v>10</v>
      </c>
      <c r="F21" s="14" t="s">
        <v>24</v>
      </c>
      <c r="G21" s="40" t="str">
        <f t="shared" si="0"/>
        <v>standard price</v>
      </c>
    </row>
    <row r="22" spans="1:7" ht="13" x14ac:dyDescent="0.3">
      <c r="A22" s="9" t="s">
        <v>64</v>
      </c>
      <c r="B22" s="10" t="s">
        <v>65</v>
      </c>
      <c r="C22" s="10" t="s">
        <v>66</v>
      </c>
      <c r="D22" s="10">
        <v>700</v>
      </c>
      <c r="E22" s="10">
        <v>50</v>
      </c>
      <c r="F22" s="11" t="s">
        <v>9</v>
      </c>
      <c r="G22" s="40" t="str">
        <f>IF(D22&gt;=500,"High price","standard price")</f>
        <v>High price</v>
      </c>
    </row>
    <row r="23" spans="1:7" ht="13" x14ac:dyDescent="0.3">
      <c r="A23" s="12" t="s">
        <v>67</v>
      </c>
      <c r="B23" s="13" t="s">
        <v>68</v>
      </c>
      <c r="C23" s="13" t="s">
        <v>69</v>
      </c>
      <c r="D23" s="13">
        <v>80</v>
      </c>
      <c r="E23" s="13">
        <v>20</v>
      </c>
      <c r="F23" s="14" t="s">
        <v>17</v>
      </c>
      <c r="G23" s="40" t="str">
        <f>IF(D23&gt;=500,"High price","standard price")</f>
        <v>standard price</v>
      </c>
    </row>
    <row r="24" spans="1:7" ht="13" x14ac:dyDescent="0.3">
      <c r="A24" s="9" t="s">
        <v>70</v>
      </c>
      <c r="B24" s="10" t="s">
        <v>71</v>
      </c>
      <c r="C24" s="10" t="s">
        <v>72</v>
      </c>
      <c r="D24" s="10">
        <v>150</v>
      </c>
      <c r="E24" s="10">
        <v>30</v>
      </c>
      <c r="F24" s="11" t="s">
        <v>9</v>
      </c>
      <c r="G24" s="40" t="str">
        <f>IF(D24&gt;=500,"High price","standard price")</f>
        <v>standard price</v>
      </c>
    </row>
    <row r="25" spans="1:7" ht="13" x14ac:dyDescent="0.3">
      <c r="A25" s="12" t="s">
        <v>50</v>
      </c>
      <c r="B25" s="13" t="s">
        <v>51</v>
      </c>
      <c r="C25" s="13" t="s">
        <v>52</v>
      </c>
      <c r="D25" s="13">
        <v>50</v>
      </c>
      <c r="E25" s="13">
        <v>35</v>
      </c>
      <c r="F25" s="14" t="s">
        <v>53</v>
      </c>
      <c r="G25" s="40" t="str">
        <f>IF(D25&gt;=500,"High price","standard price")</f>
        <v>standard price</v>
      </c>
    </row>
    <row r="26" spans="1:7" ht="13" x14ac:dyDescent="0.3">
      <c r="A26" s="9" t="s">
        <v>73</v>
      </c>
      <c r="B26" s="10" t="s">
        <v>19</v>
      </c>
      <c r="C26" s="10" t="s">
        <v>74</v>
      </c>
      <c r="D26" s="10">
        <v>800</v>
      </c>
      <c r="E26" s="10">
        <v>45</v>
      </c>
      <c r="F26" s="11" t="s">
        <v>9</v>
      </c>
      <c r="G26" s="40" t="str">
        <f t="shared" ref="G26:G35" si="1">IF(D26&gt;=500,"High price","standard price")</f>
        <v>High price</v>
      </c>
    </row>
    <row r="27" spans="1:7" ht="13" x14ac:dyDescent="0.3">
      <c r="A27" s="12" t="s">
        <v>75</v>
      </c>
      <c r="B27" s="13" t="s">
        <v>59</v>
      </c>
      <c r="C27" s="13" t="s">
        <v>76</v>
      </c>
      <c r="D27" s="13">
        <v>130</v>
      </c>
      <c r="E27" s="13">
        <v>25</v>
      </c>
      <c r="F27" s="14" t="s">
        <v>13</v>
      </c>
      <c r="G27" s="40" t="str">
        <f t="shared" si="1"/>
        <v>standard price</v>
      </c>
    </row>
    <row r="28" spans="1:7" ht="13" x14ac:dyDescent="0.3">
      <c r="A28" s="9" t="s">
        <v>77</v>
      </c>
      <c r="B28" s="10" t="s">
        <v>32</v>
      </c>
      <c r="C28" s="10" t="s">
        <v>78</v>
      </c>
      <c r="D28" s="10">
        <v>400</v>
      </c>
      <c r="E28" s="10">
        <v>40</v>
      </c>
      <c r="F28" s="11" t="s">
        <v>17</v>
      </c>
      <c r="G28" s="40" t="str">
        <f t="shared" si="1"/>
        <v>standard price</v>
      </c>
    </row>
    <row r="29" spans="1:7" ht="13" x14ac:dyDescent="0.3">
      <c r="A29" s="12" t="s">
        <v>48</v>
      </c>
      <c r="B29" s="13" t="s">
        <v>26</v>
      </c>
      <c r="C29" s="13" t="s">
        <v>49</v>
      </c>
      <c r="D29" s="13">
        <v>230</v>
      </c>
      <c r="E29" s="13">
        <v>20</v>
      </c>
      <c r="F29" s="14" t="s">
        <v>9</v>
      </c>
      <c r="G29" s="40" t="str">
        <f t="shared" si="1"/>
        <v>standard price</v>
      </c>
    </row>
    <row r="30" spans="1:7" ht="13" x14ac:dyDescent="0.3">
      <c r="A30" s="9" t="s">
        <v>79</v>
      </c>
      <c r="B30" s="10" t="s">
        <v>80</v>
      </c>
      <c r="C30" s="10" t="s">
        <v>81</v>
      </c>
      <c r="D30" s="10">
        <v>60</v>
      </c>
      <c r="E30" s="10">
        <v>30</v>
      </c>
      <c r="F30" s="11" t="s">
        <v>13</v>
      </c>
      <c r="G30" s="40" t="str">
        <f t="shared" si="1"/>
        <v>standard price</v>
      </c>
    </row>
    <row r="31" spans="1:7" ht="13" x14ac:dyDescent="0.3">
      <c r="A31" s="12" t="s">
        <v>82</v>
      </c>
      <c r="B31" s="13" t="s">
        <v>83</v>
      </c>
      <c r="C31" s="13" t="s">
        <v>84</v>
      </c>
      <c r="D31" s="13">
        <v>40</v>
      </c>
      <c r="E31" s="13">
        <v>10</v>
      </c>
      <c r="F31" s="14" t="s">
        <v>17</v>
      </c>
      <c r="G31" s="40" t="str">
        <f t="shared" si="1"/>
        <v>standard price</v>
      </c>
    </row>
    <row r="32" spans="1:7" ht="13" x14ac:dyDescent="0.3">
      <c r="A32" s="9" t="s">
        <v>85</v>
      </c>
      <c r="B32" s="10" t="s">
        <v>71</v>
      </c>
      <c r="C32" s="10" t="s">
        <v>86</v>
      </c>
      <c r="D32" s="10">
        <v>130</v>
      </c>
      <c r="E32" s="10">
        <v>5</v>
      </c>
      <c r="F32" s="11" t="s">
        <v>9</v>
      </c>
      <c r="G32" s="40" t="str">
        <f t="shared" si="1"/>
        <v>standard price</v>
      </c>
    </row>
    <row r="33" spans="1:7" ht="13" x14ac:dyDescent="0.3">
      <c r="A33" s="12" t="s">
        <v>87</v>
      </c>
      <c r="B33" s="13" t="s">
        <v>88</v>
      </c>
      <c r="C33" s="13" t="s">
        <v>89</v>
      </c>
      <c r="D33" s="13">
        <v>50</v>
      </c>
      <c r="E33" s="13">
        <v>50</v>
      </c>
      <c r="F33" s="14" t="s">
        <v>13</v>
      </c>
      <c r="G33" s="40" t="str">
        <f t="shared" si="1"/>
        <v>standard price</v>
      </c>
    </row>
    <row r="34" spans="1:7" ht="13" x14ac:dyDescent="0.3">
      <c r="A34" s="9" t="s">
        <v>40</v>
      </c>
      <c r="B34" s="10" t="s">
        <v>7</v>
      </c>
      <c r="C34" s="10" t="s">
        <v>41</v>
      </c>
      <c r="D34" s="10">
        <v>950</v>
      </c>
      <c r="E34" s="10">
        <v>25</v>
      </c>
      <c r="F34" s="11" t="s">
        <v>9</v>
      </c>
      <c r="G34" s="40" t="str">
        <f t="shared" si="1"/>
        <v>High price</v>
      </c>
    </row>
    <row r="35" spans="1:7" ht="13.5" thickBot="1" x14ac:dyDescent="0.35">
      <c r="A35" s="36" t="s">
        <v>90</v>
      </c>
      <c r="B35" s="37" t="s">
        <v>91</v>
      </c>
      <c r="C35" s="37" t="s">
        <v>92</v>
      </c>
      <c r="D35" s="37">
        <v>100</v>
      </c>
      <c r="E35" s="37">
        <v>20</v>
      </c>
      <c r="F35" s="38" t="s">
        <v>53</v>
      </c>
      <c r="G35" s="41" t="str">
        <f t="shared" si="1"/>
        <v>standard price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FD84-74BB-49C3-B015-F21373D6FF10}">
  <dimension ref="A1:K36"/>
  <sheetViews>
    <sheetView tabSelected="1" workbookViewId="0">
      <selection activeCell="K3" sqref="K3"/>
    </sheetView>
  </sheetViews>
  <sheetFormatPr defaultRowHeight="12.5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6" max="6" width="10.54296875" bestFit="1" customWidth="1"/>
    <col min="8" max="8" width="12.7265625" bestFit="1" customWidth="1"/>
  </cols>
  <sheetData>
    <row r="1" spans="1:9" ht="13" x14ac:dyDescent="0.3">
      <c r="A1" s="50" t="s">
        <v>0</v>
      </c>
      <c r="B1" s="5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3" t="s">
        <v>108</v>
      </c>
      <c r="H1" s="60" t="s">
        <v>109</v>
      </c>
      <c r="I1" s="51" t="s">
        <v>110</v>
      </c>
    </row>
    <row r="2" spans="1:9" ht="13" x14ac:dyDescent="0.3">
      <c r="A2" s="54" t="s">
        <v>6</v>
      </c>
      <c r="B2" s="49" t="s">
        <v>7</v>
      </c>
      <c r="C2" s="47" t="s">
        <v>8</v>
      </c>
      <c r="D2" s="47">
        <v>1000</v>
      </c>
      <c r="E2" s="47">
        <v>30</v>
      </c>
      <c r="F2" s="47" t="s">
        <v>9</v>
      </c>
      <c r="G2" s="62" t="str">
        <f>LEFT(A2,2)</f>
        <v>28</v>
      </c>
      <c r="H2" s="61" t="str">
        <f>RIGHT(A2,2)</f>
        <v>US</v>
      </c>
      <c r="I2" s="63" t="str">
        <f>MID(A2,4,3)</f>
        <v>JAN</v>
      </c>
    </row>
    <row r="3" spans="1:9" ht="13" x14ac:dyDescent="0.3">
      <c r="A3" s="55" t="s">
        <v>10</v>
      </c>
      <c r="B3" s="48" t="s">
        <v>11</v>
      </c>
      <c r="C3" s="48" t="s">
        <v>12</v>
      </c>
      <c r="D3" s="48">
        <v>80</v>
      </c>
      <c r="E3" s="48">
        <v>15</v>
      </c>
      <c r="F3" s="48" t="s">
        <v>13</v>
      </c>
      <c r="G3" s="62" t="str">
        <f t="shared" ref="G3:G35" si="0">LEFT(A3,2)</f>
        <v>15</v>
      </c>
      <c r="H3" s="61" t="str">
        <f t="shared" ref="H3:H35" si="1">RIGHT(A3,2)</f>
        <v>US</v>
      </c>
      <c r="I3" s="63" t="str">
        <f t="shared" ref="I3:I35" si="2">MID(A3,4,3)</f>
        <v>FEB</v>
      </c>
    </row>
    <row r="4" spans="1:9" ht="13" x14ac:dyDescent="0.3">
      <c r="A4" s="54" t="s">
        <v>14</v>
      </c>
      <c r="B4" s="47" t="s">
        <v>15</v>
      </c>
      <c r="C4" s="47" t="s">
        <v>16</v>
      </c>
      <c r="D4" s="47">
        <v>130</v>
      </c>
      <c r="E4" s="47">
        <v>40</v>
      </c>
      <c r="F4" s="47" t="s">
        <v>17</v>
      </c>
      <c r="G4" s="62" t="str">
        <f t="shared" si="0"/>
        <v>03</v>
      </c>
      <c r="H4" s="61" t="str">
        <f t="shared" si="1"/>
        <v>US</v>
      </c>
      <c r="I4" s="63" t="str">
        <f t="shared" si="2"/>
        <v>MAR</v>
      </c>
    </row>
    <row r="5" spans="1:9" ht="13" x14ac:dyDescent="0.3">
      <c r="A5" s="55" t="s">
        <v>18</v>
      </c>
      <c r="B5" s="48" t="s">
        <v>19</v>
      </c>
      <c r="C5" s="48" t="s">
        <v>20</v>
      </c>
      <c r="D5" s="48">
        <v>900</v>
      </c>
      <c r="E5" s="48">
        <v>25</v>
      </c>
      <c r="F5" s="48" t="s">
        <v>9</v>
      </c>
      <c r="G5" s="62" t="str">
        <f t="shared" si="0"/>
        <v>11</v>
      </c>
      <c r="H5" s="61" t="str">
        <f t="shared" si="1"/>
        <v>US</v>
      </c>
      <c r="I5" s="63" t="str">
        <f t="shared" si="2"/>
        <v>APR</v>
      </c>
    </row>
    <row r="6" spans="1:9" ht="13" x14ac:dyDescent="0.3">
      <c r="A6" s="54" t="s">
        <v>21</v>
      </c>
      <c r="B6" s="47" t="s">
        <v>22</v>
      </c>
      <c r="C6" s="47" t="s">
        <v>23</v>
      </c>
      <c r="D6" s="47">
        <v>70</v>
      </c>
      <c r="E6" s="47">
        <v>20</v>
      </c>
      <c r="F6" s="47" t="s">
        <v>24</v>
      </c>
      <c r="G6" s="62" t="str">
        <f t="shared" si="0"/>
        <v>22</v>
      </c>
      <c r="H6" s="61" t="str">
        <f t="shared" si="1"/>
        <v>US</v>
      </c>
      <c r="I6" s="63" t="str">
        <f t="shared" si="2"/>
        <v>MAY</v>
      </c>
    </row>
    <row r="7" spans="1:9" ht="13" x14ac:dyDescent="0.3">
      <c r="A7" s="55" t="s">
        <v>25</v>
      </c>
      <c r="B7" s="48" t="s">
        <v>26</v>
      </c>
      <c r="C7" s="48" t="s">
        <v>27</v>
      </c>
      <c r="D7" s="48">
        <v>200</v>
      </c>
      <c r="E7" s="48">
        <v>45</v>
      </c>
      <c r="F7" s="48" t="s">
        <v>9</v>
      </c>
      <c r="G7" s="62" t="str">
        <f t="shared" si="0"/>
        <v>07</v>
      </c>
      <c r="H7" s="61" t="str">
        <f t="shared" si="1"/>
        <v>UK</v>
      </c>
      <c r="I7" s="63" t="str">
        <f t="shared" si="2"/>
        <v>JUN</v>
      </c>
    </row>
    <row r="8" spans="1:9" ht="13" x14ac:dyDescent="0.3">
      <c r="A8" s="54" t="s">
        <v>28</v>
      </c>
      <c r="B8" s="47" t="s">
        <v>29</v>
      </c>
      <c r="C8" s="47" t="s">
        <v>30</v>
      </c>
      <c r="D8" s="47">
        <v>30</v>
      </c>
      <c r="E8" s="47">
        <v>5</v>
      </c>
      <c r="F8" s="47" t="s">
        <v>13</v>
      </c>
      <c r="G8" s="62" t="str">
        <f t="shared" si="0"/>
        <v>19</v>
      </c>
      <c r="H8" s="61" t="str">
        <f t="shared" si="1"/>
        <v>UK</v>
      </c>
      <c r="I8" s="63" t="str">
        <f t="shared" si="2"/>
        <v>JUL</v>
      </c>
    </row>
    <row r="9" spans="1:9" ht="13" x14ac:dyDescent="0.3">
      <c r="A9" s="55" t="s">
        <v>31</v>
      </c>
      <c r="B9" s="48" t="s">
        <v>32</v>
      </c>
      <c r="C9" s="48" t="s">
        <v>33</v>
      </c>
      <c r="D9" s="48">
        <v>90</v>
      </c>
      <c r="E9" s="48">
        <v>35</v>
      </c>
      <c r="F9" s="48" t="s">
        <v>17</v>
      </c>
      <c r="G9" s="62" t="str">
        <f t="shared" si="0"/>
        <v>23</v>
      </c>
      <c r="H9" s="61" t="str">
        <f t="shared" si="1"/>
        <v>UK</v>
      </c>
      <c r="I9" s="63" t="str">
        <f t="shared" si="2"/>
        <v>AUG</v>
      </c>
    </row>
    <row r="10" spans="1:9" ht="13" x14ac:dyDescent="0.3">
      <c r="A10" s="54" t="s">
        <v>34</v>
      </c>
      <c r="B10" s="47" t="s">
        <v>35</v>
      </c>
      <c r="C10" s="47" t="s">
        <v>36</v>
      </c>
      <c r="D10" s="47">
        <v>500</v>
      </c>
      <c r="E10" s="47">
        <v>50</v>
      </c>
      <c r="F10" s="47" t="s">
        <v>9</v>
      </c>
      <c r="G10" s="62" t="str">
        <f t="shared" si="0"/>
        <v>05</v>
      </c>
      <c r="H10" s="61" t="str">
        <f t="shared" si="1"/>
        <v>UK</v>
      </c>
      <c r="I10" s="63" t="str">
        <f t="shared" si="2"/>
        <v>SEP</v>
      </c>
    </row>
    <row r="11" spans="1:9" ht="13" x14ac:dyDescent="0.3">
      <c r="A11" s="55" t="s">
        <v>37</v>
      </c>
      <c r="B11" s="48" t="s">
        <v>38</v>
      </c>
      <c r="C11" s="48" t="s">
        <v>39</v>
      </c>
      <c r="D11" s="48">
        <v>130</v>
      </c>
      <c r="E11" s="48">
        <v>10</v>
      </c>
      <c r="F11" s="48" t="s">
        <v>24</v>
      </c>
      <c r="G11" s="62" t="str">
        <f t="shared" si="0"/>
        <v>14</v>
      </c>
      <c r="H11" s="61" t="str">
        <f t="shared" si="1"/>
        <v>UK</v>
      </c>
      <c r="I11" s="63" t="str">
        <f t="shared" si="2"/>
        <v>OCT</v>
      </c>
    </row>
    <row r="12" spans="1:9" ht="13" x14ac:dyDescent="0.3">
      <c r="A12" s="54" t="s">
        <v>40</v>
      </c>
      <c r="B12" s="47" t="s">
        <v>7</v>
      </c>
      <c r="C12" s="47" t="s">
        <v>41</v>
      </c>
      <c r="D12" s="47">
        <v>950</v>
      </c>
      <c r="E12" s="47">
        <v>25</v>
      </c>
      <c r="F12" s="47" t="s">
        <v>9</v>
      </c>
      <c r="G12" s="62" t="str">
        <f t="shared" si="0"/>
        <v>17</v>
      </c>
      <c r="H12" s="61" t="str">
        <f t="shared" si="1"/>
        <v>IN</v>
      </c>
      <c r="I12" s="63" t="str">
        <f t="shared" si="2"/>
        <v>JUN</v>
      </c>
    </row>
    <row r="13" spans="1:9" ht="13" x14ac:dyDescent="0.3">
      <c r="A13" s="55" t="s">
        <v>42</v>
      </c>
      <c r="B13" s="48" t="s">
        <v>11</v>
      </c>
      <c r="C13" s="48" t="s">
        <v>30</v>
      </c>
      <c r="D13" s="48">
        <v>90</v>
      </c>
      <c r="E13" s="48">
        <v>40</v>
      </c>
      <c r="F13" s="48" t="s">
        <v>13</v>
      </c>
      <c r="G13" s="62" t="str">
        <f>LEFT(A13,2)</f>
        <v>25</v>
      </c>
      <c r="H13" s="61" t="str">
        <f t="shared" si="1"/>
        <v>AU</v>
      </c>
      <c r="I13" s="63" t="str">
        <f t="shared" si="2"/>
        <v>NOV</v>
      </c>
    </row>
    <row r="14" spans="1:9" ht="13" x14ac:dyDescent="0.3">
      <c r="A14" s="54" t="s">
        <v>43</v>
      </c>
      <c r="B14" s="47" t="s">
        <v>15</v>
      </c>
      <c r="C14" s="47" t="s">
        <v>44</v>
      </c>
      <c r="D14" s="47">
        <v>120</v>
      </c>
      <c r="E14" s="47">
        <v>35</v>
      </c>
      <c r="F14" s="47" t="s">
        <v>17</v>
      </c>
      <c r="G14" s="62" t="str">
        <f t="shared" si="0"/>
        <v>08</v>
      </c>
      <c r="H14" s="61" t="str">
        <f t="shared" si="1"/>
        <v>DE</v>
      </c>
      <c r="I14" s="63" t="str">
        <f t="shared" si="2"/>
        <v>DEC</v>
      </c>
    </row>
    <row r="15" spans="1:9" ht="13" x14ac:dyDescent="0.3">
      <c r="A15" s="55" t="s">
        <v>45</v>
      </c>
      <c r="B15" s="48" t="s">
        <v>46</v>
      </c>
      <c r="C15" s="48" t="s">
        <v>47</v>
      </c>
      <c r="D15" s="48">
        <v>150</v>
      </c>
      <c r="E15" s="48">
        <v>15</v>
      </c>
      <c r="F15" s="48" t="s">
        <v>9</v>
      </c>
      <c r="G15" s="62" t="str">
        <f t="shared" si="0"/>
        <v>18</v>
      </c>
      <c r="H15" s="61" t="str">
        <f t="shared" si="1"/>
        <v>CA</v>
      </c>
      <c r="I15" s="63" t="str">
        <f t="shared" si="2"/>
        <v>FEB</v>
      </c>
    </row>
    <row r="16" spans="1:9" ht="13" x14ac:dyDescent="0.3">
      <c r="A16" s="54" t="s">
        <v>48</v>
      </c>
      <c r="B16" s="47" t="s">
        <v>26</v>
      </c>
      <c r="C16" s="47" t="s">
        <v>49</v>
      </c>
      <c r="D16" s="47">
        <v>250</v>
      </c>
      <c r="E16" s="47">
        <v>20</v>
      </c>
      <c r="F16" s="47" t="s">
        <v>9</v>
      </c>
      <c r="G16" s="62" t="str">
        <f t="shared" si="0"/>
        <v>16</v>
      </c>
      <c r="H16" s="61" t="str">
        <f t="shared" si="1"/>
        <v>ES</v>
      </c>
      <c r="I16" s="63" t="str">
        <f t="shared" si="2"/>
        <v>APR</v>
      </c>
    </row>
    <row r="17" spans="1:11" ht="13" x14ac:dyDescent="0.3">
      <c r="A17" s="55" t="s">
        <v>50</v>
      </c>
      <c r="B17" s="48" t="s">
        <v>51</v>
      </c>
      <c r="C17" s="48" t="s">
        <v>52</v>
      </c>
      <c r="D17" s="48">
        <v>50</v>
      </c>
      <c r="E17" s="48">
        <v>35</v>
      </c>
      <c r="F17" s="48" t="s">
        <v>53</v>
      </c>
      <c r="G17" s="62" t="str">
        <f t="shared" si="0"/>
        <v>21</v>
      </c>
      <c r="H17" s="61" t="str">
        <f t="shared" si="1"/>
        <v>CA</v>
      </c>
      <c r="I17" s="63" t="str">
        <f t="shared" si="2"/>
        <v>AUG</v>
      </c>
    </row>
    <row r="18" spans="1:11" ht="13" x14ac:dyDescent="0.3">
      <c r="A18" s="54" t="s">
        <v>54</v>
      </c>
      <c r="B18" s="47" t="s">
        <v>46</v>
      </c>
      <c r="C18" s="47" t="s">
        <v>55</v>
      </c>
      <c r="D18" s="47">
        <v>160</v>
      </c>
      <c r="E18" s="47">
        <v>15</v>
      </c>
      <c r="F18" s="47" t="s">
        <v>9</v>
      </c>
      <c r="G18" s="62" t="str">
        <f t="shared" si="0"/>
        <v>20</v>
      </c>
      <c r="H18" s="61" t="str">
        <f>RIGHT(A18,2)</f>
        <v>CN</v>
      </c>
      <c r="I18" s="63" t="str">
        <f t="shared" si="2"/>
        <v>AUG</v>
      </c>
    </row>
    <row r="19" spans="1:11" ht="13" x14ac:dyDescent="0.3">
      <c r="A19" s="55" t="s">
        <v>56</v>
      </c>
      <c r="B19" s="48" t="s">
        <v>7</v>
      </c>
      <c r="C19" s="48" t="s">
        <v>57</v>
      </c>
      <c r="D19" s="48">
        <v>980</v>
      </c>
      <c r="E19" s="48">
        <v>10</v>
      </c>
      <c r="F19" s="48" t="s">
        <v>9</v>
      </c>
      <c r="G19" s="62" t="str">
        <f t="shared" si="0"/>
        <v>27</v>
      </c>
      <c r="H19" s="61" t="str">
        <f t="shared" si="1"/>
        <v>IT</v>
      </c>
      <c r="I19" s="63" t="str">
        <f t="shared" si="2"/>
        <v>JAN</v>
      </c>
    </row>
    <row r="20" spans="1:11" ht="13" x14ac:dyDescent="0.3">
      <c r="A20" s="54" t="s">
        <v>58</v>
      </c>
      <c r="B20" s="47" t="s">
        <v>59</v>
      </c>
      <c r="C20" s="47" t="s">
        <v>60</v>
      </c>
      <c r="D20" s="47">
        <v>150</v>
      </c>
      <c r="E20" s="47">
        <v>15</v>
      </c>
      <c r="F20" s="48" t="s">
        <v>53</v>
      </c>
      <c r="G20" s="62" t="str">
        <f>LEFT(A20,2)</f>
        <v>01</v>
      </c>
      <c r="H20" s="61" t="str">
        <f t="shared" si="1"/>
        <v>UK</v>
      </c>
      <c r="I20" s="63" t="str">
        <f t="shared" si="2"/>
        <v>MAR</v>
      </c>
    </row>
    <row r="21" spans="1:11" ht="13" x14ac:dyDescent="0.3">
      <c r="A21" s="55" t="s">
        <v>61</v>
      </c>
      <c r="B21" s="48" t="s">
        <v>62</v>
      </c>
      <c r="C21" s="48" t="s">
        <v>63</v>
      </c>
      <c r="D21" s="48">
        <v>200</v>
      </c>
      <c r="E21" s="48">
        <v>10</v>
      </c>
      <c r="F21" s="47" t="s">
        <v>9</v>
      </c>
      <c r="G21" s="62" t="str">
        <f t="shared" si="0"/>
        <v>14</v>
      </c>
      <c r="H21" s="61" t="str">
        <f t="shared" si="1"/>
        <v>US</v>
      </c>
      <c r="I21" s="63" t="str">
        <f t="shared" si="2"/>
        <v>AUG</v>
      </c>
      <c r="K21" s="23"/>
    </row>
    <row r="22" spans="1:11" ht="13" x14ac:dyDescent="0.3">
      <c r="A22" s="54" t="s">
        <v>64</v>
      </c>
      <c r="B22" s="47" t="s">
        <v>65</v>
      </c>
      <c r="C22" s="47" t="s">
        <v>66</v>
      </c>
      <c r="D22" s="47">
        <v>700</v>
      </c>
      <c r="E22" s="47">
        <v>50</v>
      </c>
      <c r="F22" s="47" t="s">
        <v>9</v>
      </c>
      <c r="G22" s="62" t="str">
        <f t="shared" si="0"/>
        <v>14</v>
      </c>
      <c r="H22" s="61" t="str">
        <f t="shared" si="1"/>
        <v>RU</v>
      </c>
      <c r="I22" s="63" t="str">
        <f t="shared" si="2"/>
        <v>MAY</v>
      </c>
    </row>
    <row r="23" spans="1:11" ht="13" x14ac:dyDescent="0.3">
      <c r="A23" s="55" t="s">
        <v>67</v>
      </c>
      <c r="B23" s="48" t="s">
        <v>68</v>
      </c>
      <c r="C23" s="48" t="s">
        <v>69</v>
      </c>
      <c r="D23" s="48">
        <v>80</v>
      </c>
      <c r="E23" s="48">
        <v>20</v>
      </c>
      <c r="F23" s="48" t="s">
        <v>17</v>
      </c>
      <c r="G23" s="62" t="str">
        <f t="shared" si="0"/>
        <v>09</v>
      </c>
      <c r="H23" s="61" t="str">
        <f t="shared" si="1"/>
        <v>CA</v>
      </c>
      <c r="I23" s="63" t="str">
        <f t="shared" si="2"/>
        <v>JAN</v>
      </c>
    </row>
    <row r="24" spans="1:11" ht="13" x14ac:dyDescent="0.3">
      <c r="A24" s="54" t="s">
        <v>70</v>
      </c>
      <c r="B24" s="47" t="s">
        <v>71</v>
      </c>
      <c r="C24" s="47" t="s">
        <v>72</v>
      </c>
      <c r="D24" s="47">
        <v>150</v>
      </c>
      <c r="E24" s="47">
        <v>30</v>
      </c>
      <c r="F24" s="47" t="s">
        <v>9</v>
      </c>
      <c r="G24" s="62" t="str">
        <f t="shared" si="0"/>
        <v>19</v>
      </c>
      <c r="H24" s="61" t="str">
        <f t="shared" si="1"/>
        <v>BR</v>
      </c>
      <c r="I24" s="63" t="str">
        <f t="shared" si="2"/>
        <v>JUL</v>
      </c>
    </row>
    <row r="25" spans="1:11" ht="13" x14ac:dyDescent="0.3">
      <c r="A25" s="55" t="s">
        <v>50</v>
      </c>
      <c r="B25" s="48" t="s">
        <v>51</v>
      </c>
      <c r="C25" s="48" t="s">
        <v>52</v>
      </c>
      <c r="D25" s="48">
        <v>50</v>
      </c>
      <c r="E25" s="48">
        <v>35</v>
      </c>
      <c r="F25" s="48" t="s">
        <v>53</v>
      </c>
      <c r="G25" s="62" t="str">
        <f t="shared" si="0"/>
        <v>21</v>
      </c>
      <c r="H25" s="61" t="str">
        <f t="shared" si="1"/>
        <v>CA</v>
      </c>
      <c r="I25" s="63" t="str">
        <f t="shared" si="2"/>
        <v>AUG</v>
      </c>
    </row>
    <row r="26" spans="1:11" ht="13" x14ac:dyDescent="0.3">
      <c r="A26" s="54" t="s">
        <v>73</v>
      </c>
      <c r="B26" s="47" t="s">
        <v>19</v>
      </c>
      <c r="C26" s="47" t="s">
        <v>74</v>
      </c>
      <c r="D26" s="47">
        <v>800</v>
      </c>
      <c r="E26" s="47">
        <v>45</v>
      </c>
      <c r="F26" s="47" t="s">
        <v>9</v>
      </c>
      <c r="G26" s="62" t="str">
        <f t="shared" si="0"/>
        <v>29</v>
      </c>
      <c r="H26" s="61" t="str">
        <f t="shared" si="1"/>
        <v>CA</v>
      </c>
      <c r="I26" s="63" t="str">
        <f t="shared" si="2"/>
        <v>SEP</v>
      </c>
    </row>
    <row r="27" spans="1:11" ht="13" x14ac:dyDescent="0.3">
      <c r="A27" s="55" t="s">
        <v>75</v>
      </c>
      <c r="B27" s="48" t="s">
        <v>59</v>
      </c>
      <c r="C27" s="48" t="s">
        <v>76</v>
      </c>
      <c r="D27" s="48">
        <v>130</v>
      </c>
      <c r="E27" s="48">
        <v>25</v>
      </c>
      <c r="F27" s="48" t="s">
        <v>13</v>
      </c>
      <c r="G27" s="62" t="str">
        <f t="shared" si="0"/>
        <v>03</v>
      </c>
      <c r="H27" s="61" t="str">
        <f t="shared" si="1"/>
        <v>CA</v>
      </c>
      <c r="I27" s="63" t="str">
        <f t="shared" si="2"/>
        <v>JUN</v>
      </c>
    </row>
    <row r="28" spans="1:11" ht="13" x14ac:dyDescent="0.3">
      <c r="A28" s="54" t="s">
        <v>77</v>
      </c>
      <c r="B28" s="47" t="s">
        <v>32</v>
      </c>
      <c r="C28" s="47" t="s">
        <v>78</v>
      </c>
      <c r="D28" s="47">
        <v>400</v>
      </c>
      <c r="E28" s="47">
        <v>40</v>
      </c>
      <c r="F28" s="47" t="s">
        <v>17</v>
      </c>
      <c r="G28" s="62" t="str">
        <f t="shared" si="0"/>
        <v>11</v>
      </c>
      <c r="H28" s="61" t="str">
        <f t="shared" si="1"/>
        <v>CA</v>
      </c>
      <c r="I28" s="63" t="str">
        <f t="shared" si="2"/>
        <v>JUL</v>
      </c>
    </row>
    <row r="29" spans="1:11" ht="13" x14ac:dyDescent="0.3">
      <c r="A29" s="55" t="s">
        <v>48</v>
      </c>
      <c r="B29" s="48" t="s">
        <v>26</v>
      </c>
      <c r="C29" s="48" t="s">
        <v>49</v>
      </c>
      <c r="D29" s="48">
        <v>230</v>
      </c>
      <c r="E29" s="48">
        <v>20</v>
      </c>
      <c r="F29" s="48" t="s">
        <v>9</v>
      </c>
      <c r="G29" s="62" t="str">
        <f t="shared" si="0"/>
        <v>16</v>
      </c>
      <c r="H29" s="61" t="str">
        <f t="shared" si="1"/>
        <v>ES</v>
      </c>
      <c r="I29" s="63" t="str">
        <f t="shared" si="2"/>
        <v>APR</v>
      </c>
    </row>
    <row r="30" spans="1:11" ht="13" x14ac:dyDescent="0.3">
      <c r="A30" s="54" t="s">
        <v>79</v>
      </c>
      <c r="B30" s="47" t="s">
        <v>80</v>
      </c>
      <c r="C30" s="47" t="s">
        <v>81</v>
      </c>
      <c r="D30" s="47">
        <v>60</v>
      </c>
      <c r="E30" s="47">
        <v>30</v>
      </c>
      <c r="F30" s="47" t="s">
        <v>13</v>
      </c>
      <c r="G30" s="62" t="str">
        <f t="shared" si="0"/>
        <v>07</v>
      </c>
      <c r="H30" s="61" t="str">
        <f t="shared" si="1"/>
        <v>CA</v>
      </c>
      <c r="I30" s="63" t="str">
        <f t="shared" si="2"/>
        <v>MAR</v>
      </c>
    </row>
    <row r="31" spans="1:11" ht="13" x14ac:dyDescent="0.3">
      <c r="A31" s="55" t="s">
        <v>82</v>
      </c>
      <c r="B31" s="48" t="s">
        <v>83</v>
      </c>
      <c r="C31" s="48" t="s">
        <v>84</v>
      </c>
      <c r="D31" s="48">
        <v>40</v>
      </c>
      <c r="E31" s="48">
        <v>10</v>
      </c>
      <c r="F31" s="48" t="s">
        <v>17</v>
      </c>
      <c r="G31" s="62" t="str">
        <f>LEFT(A31,2)</f>
        <v>13</v>
      </c>
      <c r="H31" s="61" t="str">
        <f t="shared" si="1"/>
        <v>CA</v>
      </c>
      <c r="I31" s="63" t="str">
        <f t="shared" si="2"/>
        <v>APR</v>
      </c>
    </row>
    <row r="32" spans="1:11" ht="13" x14ac:dyDescent="0.3">
      <c r="A32" s="54" t="s">
        <v>85</v>
      </c>
      <c r="B32" s="47" t="s">
        <v>71</v>
      </c>
      <c r="C32" s="47" t="s">
        <v>86</v>
      </c>
      <c r="D32" s="47">
        <v>130</v>
      </c>
      <c r="E32" s="47">
        <v>5</v>
      </c>
      <c r="F32" s="47" t="s">
        <v>9</v>
      </c>
      <c r="G32" s="62" t="str">
        <f t="shared" si="0"/>
        <v>24</v>
      </c>
      <c r="H32" s="61" t="str">
        <f t="shared" si="1"/>
        <v>CA</v>
      </c>
      <c r="I32" s="63" t="str">
        <f t="shared" si="2"/>
        <v>MAY</v>
      </c>
    </row>
    <row r="33" spans="1:9" ht="13" x14ac:dyDescent="0.3">
      <c r="A33" s="55" t="s">
        <v>87</v>
      </c>
      <c r="B33" s="48" t="s">
        <v>88</v>
      </c>
      <c r="C33" s="48" t="s">
        <v>89</v>
      </c>
      <c r="D33" s="48">
        <v>50</v>
      </c>
      <c r="E33" s="48">
        <v>50</v>
      </c>
      <c r="F33" s="48" t="s">
        <v>13</v>
      </c>
      <c r="G33" s="62" t="str">
        <f t="shared" si="0"/>
        <v>02</v>
      </c>
      <c r="H33" s="61" t="str">
        <f t="shared" si="1"/>
        <v>CA</v>
      </c>
      <c r="I33" s="63" t="str">
        <f t="shared" si="2"/>
        <v>DEC</v>
      </c>
    </row>
    <row r="34" spans="1:9" ht="13" x14ac:dyDescent="0.3">
      <c r="A34" s="54" t="s">
        <v>40</v>
      </c>
      <c r="B34" s="47" t="s">
        <v>7</v>
      </c>
      <c r="C34" s="47" t="s">
        <v>41</v>
      </c>
      <c r="D34" s="47">
        <v>950</v>
      </c>
      <c r="E34" s="47">
        <v>25</v>
      </c>
      <c r="F34" s="47" t="s">
        <v>9</v>
      </c>
      <c r="G34" s="62" t="str">
        <f t="shared" si="0"/>
        <v>17</v>
      </c>
      <c r="H34" s="61" t="str">
        <f t="shared" si="1"/>
        <v>IN</v>
      </c>
      <c r="I34" s="63" t="str">
        <f t="shared" si="2"/>
        <v>JUN</v>
      </c>
    </row>
    <row r="35" spans="1:9" ht="13.5" thickBot="1" x14ac:dyDescent="0.35">
      <c r="A35" s="56" t="s">
        <v>90</v>
      </c>
      <c r="B35" s="57" t="s">
        <v>91</v>
      </c>
      <c r="C35" s="58" t="s">
        <v>92</v>
      </c>
      <c r="D35" s="58">
        <v>100</v>
      </c>
      <c r="E35" s="58">
        <v>20</v>
      </c>
      <c r="F35" s="58" t="s">
        <v>53</v>
      </c>
      <c r="G35" s="62" t="str">
        <f t="shared" si="0"/>
        <v>09</v>
      </c>
      <c r="H35" s="61" t="str">
        <f t="shared" si="1"/>
        <v>FR</v>
      </c>
      <c r="I35" s="63" t="str">
        <f t="shared" si="2"/>
        <v>JUL</v>
      </c>
    </row>
    <row r="36" spans="1:9" x14ac:dyDescent="0.25">
      <c r="G36" s="5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Sum, Count, and Average</vt:lpstr>
      <vt:lpstr>IF functions</vt:lpstr>
      <vt:lpstr>SUMIF and COUNTIF</vt:lpstr>
      <vt:lpstr>LEFT, RIGHT, 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Pison Jaya Elbinah Balan</cp:lastModifiedBy>
  <dcterms:created xsi:type="dcterms:W3CDTF">2026-06-30T19:13:14Z</dcterms:created>
  <dcterms:modified xsi:type="dcterms:W3CDTF">2026-06-30T19:13:15Z</dcterms:modified>
</cp:coreProperties>
</file>